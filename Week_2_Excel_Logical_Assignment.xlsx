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bbu\Downloads\"/>
    </mc:Choice>
  </mc:AlternateContent>
  <bookViews>
    <workbookView xWindow="0" yWindow="0" windowWidth="23040" windowHeight="105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9" i="1" l="1"/>
  <c r="E81" i="1"/>
  <c r="E65" i="1"/>
  <c r="E57" i="1"/>
  <c r="E49" i="1"/>
  <c r="E29" i="1"/>
  <c r="F21" i="1"/>
  <c r="E8" i="1"/>
  <c r="E73" i="1"/>
</calcChain>
</file>

<file path=xl/sharedStrings.xml><?xml version="1.0" encoding="utf-8"?>
<sst xmlns="http://schemas.openxmlformats.org/spreadsheetml/2006/main" count="108" uniqueCount="66">
  <si>
    <t>Question 1:</t>
  </si>
  <si>
    <t>You have the following dataset:</t>
  </si>
  <si>
    <t xml:space="preserve">Product </t>
  </si>
  <si>
    <t>Sales</t>
  </si>
  <si>
    <t>Product A</t>
  </si>
  <si>
    <t>Product B</t>
  </si>
  <si>
    <t>Product C</t>
  </si>
  <si>
    <t>Write a formula to calculate the total sales of Product B and Product C only.</t>
  </si>
  <si>
    <t>Answer 1:</t>
  </si>
  <si>
    <t>[ =SUM(B5+B6) ]</t>
  </si>
  <si>
    <t>Question 2:</t>
  </si>
  <si>
    <t>What formula would you use to count the number of cells that contain numeric values in the range for example A12:A21 ?</t>
  </si>
  <si>
    <t>Answer 2:</t>
  </si>
  <si>
    <t>[ =COUNT(A12:A21) ]</t>
  </si>
  <si>
    <t>Question 3:</t>
  </si>
  <si>
    <t>Using the data below, write a formula to find the average score of students who scored above 80:</t>
  </si>
  <si>
    <t>Student</t>
  </si>
  <si>
    <t>Score</t>
  </si>
  <si>
    <t>Alice</t>
  </si>
  <si>
    <t>Bob</t>
  </si>
  <si>
    <t>Charlie</t>
  </si>
  <si>
    <t>Answer 3:</t>
  </si>
  <si>
    <t>[ =AVERAGEIF(B26:B28,"&gt;80",B26:B28) ]</t>
  </si>
  <si>
    <t>Question 4:</t>
  </si>
  <si>
    <t>How would you sort the following dataset first by "Department" (A-Z) and then by "Salary" (Largest to Smallest)?</t>
  </si>
  <si>
    <t>Employee</t>
  </si>
  <si>
    <t>Department</t>
  </si>
  <si>
    <t>Salary</t>
  </si>
  <si>
    <t>HR</t>
  </si>
  <si>
    <t>IT</t>
  </si>
  <si>
    <t>Answer 4:</t>
  </si>
  <si>
    <t>I have sorted the data with the help of sort and filter option which is available in both home tab and data tab.</t>
  </si>
  <si>
    <t>Question 5:</t>
  </si>
  <si>
    <t>Using the dataset below, find the formula to calculate the second smallest value in the "Revenue" column:</t>
  </si>
  <si>
    <t>Revenue</t>
  </si>
  <si>
    <t>Answer 5:</t>
  </si>
  <si>
    <t>[ =SMALL(B46:B48,2) ]</t>
  </si>
  <si>
    <t>Question 6:</t>
  </si>
  <si>
    <t>What formula would you use to count the number of employees in the "Sales" department from the dataset
 below?</t>
  </si>
  <si>
    <t>Answer 6:</t>
  </si>
  <si>
    <t>[ =COUNTIF(B54:B56,"Sales") ]</t>
  </si>
  <si>
    <t>Question 7:</t>
  </si>
  <si>
    <t>Write a formula to calculate the total sales only for items that sold more than 200 units:</t>
  </si>
  <si>
    <t>Item</t>
  </si>
  <si>
    <t>Units Sold</t>
  </si>
  <si>
    <t>Item A</t>
  </si>
  <si>
    <t>Item B</t>
  </si>
  <si>
    <t>Item C</t>
  </si>
  <si>
    <t>Answer 7:</t>
  </si>
  <si>
    <t>[ =SUMIF(B62:B64,"&gt;200",B62:B64) ]</t>
  </si>
  <si>
    <t>Question 8:</t>
  </si>
  <si>
    <t>Using the dataset below, write a formula to find the maximum price of items that are marked as "Available":</t>
  </si>
  <si>
    <t>Price</t>
  </si>
  <si>
    <t>Availability</t>
  </si>
  <si>
    <t>Available</t>
  </si>
  <si>
    <t>Unavailable</t>
  </si>
  <si>
    <t>Answer 8:</t>
  </si>
  <si>
    <t>[ =MAXIFS(B70:B72,C70:C72,"Available") ]</t>
  </si>
  <si>
    <t>Question 9:</t>
  </si>
  <si>
    <t>Given the following data, what formula would you use to filter and count all employees earning above 5000 in the "HR" department?</t>
  </si>
  <si>
    <t>Answer 9:</t>
  </si>
  <si>
    <t>[ =COUNTIFS(B78:B80,"HR",C78:C80,"&gt;5000") ]</t>
  </si>
  <si>
    <t>Question 10:</t>
  </si>
  <si>
    <t>Using the data below, write a formula to calculate the average sales of items priced above 100 but less than 300:</t>
  </si>
  <si>
    <t>Answer 10:</t>
  </si>
  <si>
    <t>[ =AVERAGEIFS(C86:C88,B86:B88,"&gt;100",B86:B88,"&lt;300")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</si>
</sst>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20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46" fontId="0" fillId="0" borderId="0" xfId="0" applyNumberFormat="1" applyAlignment="1">
      <alignment horizontal="center" vertical="top"/>
    </xf>
    <xf numFmtId="46" fontId="0" fillId="0" borderId="0" xfId="0" applyNumberFormat="1"/>
    <xf numFmtId="0" fontId="0" fillId="0" borderId="0" xfId="0" applyAlignment="1"/>
    <xf numFmtId="0" fontId="1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NumberFormat="1"/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AD89"/>
  <sheetViews>
    <sheetView tabSelected="1" workbookViewId="0">
      <selection activeCell="C7" sqref="C7"/>
    </sheetView>
  </sheetViews>
  <sheetFormatPr defaultRowHeight="14.4" x14ac:dyDescent="0.3"/>
  <sheetData>
    <row r="1" spans="4:13" x14ac:dyDescent="0.3">
      <c r="D1" t="s">
        <v>0</v>
      </c>
    </row>
    <row r="2" spans="4:13" x14ac:dyDescent="0.3">
      <c r="D2" s="1" t="s">
        <v>1</v>
      </c>
      <c r="E2" s="1"/>
      <c r="F2" s="1"/>
    </row>
    <row r="3" spans="4:13" x14ac:dyDescent="0.3">
      <c r="D3" s="2" t="s">
        <v>2</v>
      </c>
      <c r="E3" s="2" t="s">
        <v>3</v>
      </c>
    </row>
    <row r="4" spans="4:13" x14ac:dyDescent="0.3">
      <c r="D4" s="3" t="s">
        <v>4</v>
      </c>
      <c r="E4" s="3">
        <v>150</v>
      </c>
    </row>
    <row r="5" spans="4:13" x14ac:dyDescent="0.3">
      <c r="D5" s="3" t="s">
        <v>5</v>
      </c>
      <c r="E5" s="3">
        <v>300</v>
      </c>
    </row>
    <row r="6" spans="4:13" x14ac:dyDescent="0.3">
      <c r="D6" s="3" t="s">
        <v>6</v>
      </c>
      <c r="E6" s="3">
        <v>450</v>
      </c>
    </row>
    <row r="7" spans="4:13" x14ac:dyDescent="0.3">
      <c r="D7" s="1" t="s">
        <v>7</v>
      </c>
      <c r="E7" s="1"/>
      <c r="F7" s="1"/>
      <c r="G7" s="1"/>
      <c r="H7" s="1"/>
      <c r="I7" s="1"/>
      <c r="J7" s="1"/>
    </row>
    <row r="8" spans="4:13" x14ac:dyDescent="0.3">
      <c r="D8" t="s">
        <v>8</v>
      </c>
      <c r="E8">
        <f>SUM(E5+E6)</f>
        <v>750</v>
      </c>
      <c r="F8" s="4" t="s">
        <v>9</v>
      </c>
      <c r="G8" s="4"/>
    </row>
    <row r="10" spans="4:13" x14ac:dyDescent="0.3">
      <c r="D10" t="s">
        <v>10</v>
      </c>
    </row>
    <row r="11" spans="4:13" x14ac:dyDescent="0.3">
      <c r="D11" s="1" t="s">
        <v>11</v>
      </c>
      <c r="E11" s="1"/>
      <c r="F11" s="1"/>
      <c r="G11" s="1"/>
      <c r="H11" s="1"/>
      <c r="I11" s="1"/>
      <c r="J11" s="1"/>
      <c r="K11" s="1"/>
      <c r="L11" s="1"/>
      <c r="M11" s="1"/>
    </row>
    <row r="12" spans="4:13" x14ac:dyDescent="0.3">
      <c r="D12" s="2">
        <v>12</v>
      </c>
    </row>
    <row r="13" spans="4:13" x14ac:dyDescent="0.3">
      <c r="D13" s="2">
        <v>13</v>
      </c>
    </row>
    <row r="14" spans="4:13" x14ac:dyDescent="0.3">
      <c r="D14" s="2">
        <v>14</v>
      </c>
    </row>
    <row r="15" spans="4:13" x14ac:dyDescent="0.3">
      <c r="D15" s="2">
        <v>14</v>
      </c>
    </row>
    <row r="16" spans="4:13" x14ac:dyDescent="0.3">
      <c r="D16" s="2">
        <v>32</v>
      </c>
    </row>
    <row r="17" spans="4:22" x14ac:dyDescent="0.3">
      <c r="D17" s="2">
        <v>56</v>
      </c>
    </row>
    <row r="18" spans="4:22" x14ac:dyDescent="0.3">
      <c r="D18" s="2">
        <v>78</v>
      </c>
    </row>
    <row r="19" spans="4:22" x14ac:dyDescent="0.3">
      <c r="D19" s="2">
        <v>92</v>
      </c>
    </row>
    <row r="20" spans="4:22" x14ac:dyDescent="0.3">
      <c r="D20" s="2">
        <v>45</v>
      </c>
    </row>
    <row r="21" spans="4:22" x14ac:dyDescent="0.3">
      <c r="D21" s="2">
        <v>43</v>
      </c>
      <c r="E21" t="s">
        <v>12</v>
      </c>
      <c r="F21">
        <f>COUNT(D12:D21)</f>
        <v>10</v>
      </c>
      <c r="G21" s="4" t="s">
        <v>13</v>
      </c>
      <c r="H21" s="4"/>
    </row>
    <row r="23" spans="4:22" x14ac:dyDescent="0.3">
      <c r="D23" t="s">
        <v>14</v>
      </c>
    </row>
    <row r="24" spans="4:22" x14ac:dyDescent="0.3">
      <c r="D24" s="1" t="s">
        <v>15</v>
      </c>
      <c r="E24" s="1"/>
      <c r="F24" s="1"/>
      <c r="G24" s="1"/>
      <c r="H24" s="1"/>
      <c r="I24" s="1"/>
      <c r="J24" s="1"/>
      <c r="K24" s="1"/>
      <c r="L24" s="1"/>
    </row>
    <row r="25" spans="4:22" x14ac:dyDescent="0.3">
      <c r="D25" s="2" t="s">
        <v>16</v>
      </c>
      <c r="E25" s="2" t="s">
        <v>17</v>
      </c>
    </row>
    <row r="26" spans="4:22" x14ac:dyDescent="0.3">
      <c r="D26" s="3" t="s">
        <v>18</v>
      </c>
      <c r="E26" s="3">
        <v>85</v>
      </c>
    </row>
    <row r="27" spans="4:22" x14ac:dyDescent="0.3">
      <c r="D27" s="3" t="s">
        <v>19</v>
      </c>
      <c r="E27" s="3">
        <v>75</v>
      </c>
    </row>
    <row r="28" spans="4:22" x14ac:dyDescent="0.3">
      <c r="D28" s="3" t="s">
        <v>20</v>
      </c>
      <c r="E28" s="3">
        <v>90</v>
      </c>
    </row>
    <row r="29" spans="4:22" x14ac:dyDescent="0.3">
      <c r="D29" t="s">
        <v>21</v>
      </c>
      <c r="E29">
        <f>AVERAGEIF(E26:E28,"&gt;80",E26:E28)</f>
        <v>87.5</v>
      </c>
      <c r="F29" s="4" t="s">
        <v>22</v>
      </c>
      <c r="G29" s="4"/>
      <c r="H29" s="4"/>
      <c r="I29" s="4"/>
    </row>
    <row r="31" spans="4:22" x14ac:dyDescent="0.3">
      <c r="D31" t="s">
        <v>23</v>
      </c>
      <c r="E31" s="5"/>
    </row>
    <row r="32" spans="4:22" x14ac:dyDescent="0.3">
      <c r="D32" s="6" t="s">
        <v>24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7"/>
      <c r="R32" s="7"/>
      <c r="S32" s="8"/>
      <c r="T32" s="8"/>
      <c r="U32" s="9"/>
      <c r="V32" s="7"/>
    </row>
    <row r="33" spans="4:30" x14ac:dyDescent="0.3">
      <c r="D33" s="2" t="s">
        <v>25</v>
      </c>
      <c r="E33" s="2" t="s">
        <v>26</v>
      </c>
      <c r="F33" s="2" t="s">
        <v>27</v>
      </c>
      <c r="U33" s="10"/>
    </row>
    <row r="34" spans="4:30" x14ac:dyDescent="0.3">
      <c r="D34" s="3" t="s">
        <v>18</v>
      </c>
      <c r="E34" s="3" t="s">
        <v>28</v>
      </c>
      <c r="F34" s="3">
        <v>5000</v>
      </c>
    </row>
    <row r="35" spans="4:30" x14ac:dyDescent="0.3">
      <c r="D35" s="3" t="s">
        <v>19</v>
      </c>
      <c r="E35" s="3" t="s">
        <v>29</v>
      </c>
      <c r="F35" s="3">
        <v>8000</v>
      </c>
    </row>
    <row r="36" spans="4:30" x14ac:dyDescent="0.3">
      <c r="D36" s="3" t="s">
        <v>20</v>
      </c>
      <c r="E36" s="3" t="s">
        <v>28</v>
      </c>
      <c r="F36" s="3">
        <v>4500</v>
      </c>
    </row>
    <row r="38" spans="4:30" x14ac:dyDescent="0.3">
      <c r="D38" t="s">
        <v>30</v>
      </c>
      <c r="E38" t="s">
        <v>18</v>
      </c>
      <c r="F38" t="s">
        <v>28</v>
      </c>
      <c r="G38">
        <v>8000</v>
      </c>
    </row>
    <row r="39" spans="4:30" x14ac:dyDescent="0.3">
      <c r="E39" t="s">
        <v>19</v>
      </c>
      <c r="F39" t="s">
        <v>28</v>
      </c>
      <c r="G39">
        <v>5000</v>
      </c>
    </row>
    <row r="40" spans="4:30" x14ac:dyDescent="0.3">
      <c r="E40" t="s">
        <v>20</v>
      </c>
      <c r="F40" t="s">
        <v>29</v>
      </c>
      <c r="G40">
        <v>4500</v>
      </c>
    </row>
    <row r="41" spans="4:30" x14ac:dyDescent="0.3">
      <c r="D41" s="1" t="s">
        <v>31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3" spans="4:30" x14ac:dyDescent="0.3">
      <c r="D43" t="s">
        <v>32</v>
      </c>
    </row>
    <row r="44" spans="4:30" x14ac:dyDescent="0.3">
      <c r="D44" s="1" t="s">
        <v>33</v>
      </c>
      <c r="E44" s="1"/>
      <c r="F44" s="1"/>
      <c r="G44" s="1"/>
      <c r="H44" s="1"/>
      <c r="I44" s="1"/>
      <c r="J44" s="1"/>
      <c r="K44" s="1"/>
      <c r="L44" s="1"/>
      <c r="M44" s="1"/>
    </row>
    <row r="45" spans="4:30" x14ac:dyDescent="0.3">
      <c r="D45" s="2" t="s">
        <v>2</v>
      </c>
      <c r="E45" s="2" t="s">
        <v>34</v>
      </c>
    </row>
    <row r="46" spans="4:30" x14ac:dyDescent="0.3">
      <c r="D46" s="3" t="s">
        <v>4</v>
      </c>
      <c r="E46" s="3">
        <v>1500</v>
      </c>
    </row>
    <row r="47" spans="4:30" x14ac:dyDescent="0.3">
      <c r="D47" s="3" t="s">
        <v>5</v>
      </c>
      <c r="E47" s="3">
        <v>1200</v>
      </c>
    </row>
    <row r="48" spans="4:30" x14ac:dyDescent="0.3">
      <c r="D48" s="3" t="s">
        <v>6</v>
      </c>
      <c r="E48" s="3">
        <v>1800</v>
      </c>
    </row>
    <row r="49" spans="4:14" x14ac:dyDescent="0.3">
      <c r="D49" t="s">
        <v>35</v>
      </c>
      <c r="E49">
        <f>SMALL(E46:E48,2)</f>
        <v>1500</v>
      </c>
      <c r="F49" s="4" t="s">
        <v>36</v>
      </c>
      <c r="G49" s="4"/>
    </row>
    <row r="51" spans="4:14" x14ac:dyDescent="0.3">
      <c r="D51" t="s">
        <v>37</v>
      </c>
    </row>
    <row r="52" spans="4:14" x14ac:dyDescent="0.3">
      <c r="D52" s="11" t="s">
        <v>38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4:14" x14ac:dyDescent="0.3">
      <c r="D53" s="12" t="s">
        <v>25</v>
      </c>
      <c r="E53" s="12" t="s">
        <v>26</v>
      </c>
    </row>
    <row r="54" spans="4:14" x14ac:dyDescent="0.3">
      <c r="D54" s="13" t="s">
        <v>18</v>
      </c>
      <c r="E54" s="13" t="s">
        <v>29</v>
      </c>
    </row>
    <row r="55" spans="4:14" x14ac:dyDescent="0.3">
      <c r="D55" s="3" t="s">
        <v>19</v>
      </c>
      <c r="E55" s="3" t="s">
        <v>3</v>
      </c>
    </row>
    <row r="56" spans="4:14" x14ac:dyDescent="0.3">
      <c r="D56" s="3" t="s">
        <v>20</v>
      </c>
      <c r="E56" s="3" t="s">
        <v>3</v>
      </c>
    </row>
    <row r="57" spans="4:14" x14ac:dyDescent="0.3">
      <c r="D57" t="s">
        <v>39</v>
      </c>
      <c r="E57">
        <f>COUNTIF(E54:E56,"Sales")</f>
        <v>2</v>
      </c>
      <c r="F57" s="4" t="s">
        <v>40</v>
      </c>
      <c r="G57" s="4"/>
      <c r="H57" s="4"/>
    </row>
    <row r="59" spans="4:14" x14ac:dyDescent="0.3">
      <c r="D59" t="s">
        <v>41</v>
      </c>
      <c r="E59" s="5"/>
    </row>
    <row r="60" spans="4:14" x14ac:dyDescent="0.3">
      <c r="D60" s="14" t="s">
        <v>42</v>
      </c>
    </row>
    <row r="61" spans="4:14" x14ac:dyDescent="0.3">
      <c r="D61" s="2" t="s">
        <v>43</v>
      </c>
      <c r="E61" s="2" t="s">
        <v>44</v>
      </c>
    </row>
    <row r="62" spans="4:14" x14ac:dyDescent="0.3">
      <c r="D62" s="3" t="s">
        <v>45</v>
      </c>
      <c r="E62" s="3">
        <v>150</v>
      </c>
    </row>
    <row r="63" spans="4:14" x14ac:dyDescent="0.3">
      <c r="D63" s="3" t="s">
        <v>46</v>
      </c>
      <c r="E63" s="3">
        <v>300</v>
      </c>
    </row>
    <row r="64" spans="4:14" x14ac:dyDescent="0.3">
      <c r="D64" s="3" t="s">
        <v>47</v>
      </c>
      <c r="E64" s="3">
        <v>250</v>
      </c>
    </row>
    <row r="65" spans="4:9" x14ac:dyDescent="0.3">
      <c r="D65" t="s">
        <v>48</v>
      </c>
      <c r="E65">
        <f>SUMIF(E62:E64,"&gt;200",E62:E64)</f>
        <v>550</v>
      </c>
      <c r="F65" s="4" t="s">
        <v>49</v>
      </c>
      <c r="G65" s="4"/>
      <c r="H65" s="4"/>
      <c r="I65" s="4"/>
    </row>
    <row r="67" spans="4:9" x14ac:dyDescent="0.3">
      <c r="D67" s="14" t="s">
        <v>50</v>
      </c>
      <c r="E67" s="14"/>
    </row>
    <row r="68" spans="4:9" x14ac:dyDescent="0.3">
      <c r="D68" s="14" t="s">
        <v>51</v>
      </c>
    </row>
    <row r="69" spans="4:9" x14ac:dyDescent="0.3">
      <c r="D69" s="2" t="s">
        <v>43</v>
      </c>
      <c r="E69" s="2" t="s">
        <v>52</v>
      </c>
      <c r="F69" s="2" t="s">
        <v>53</v>
      </c>
    </row>
    <row r="70" spans="4:9" x14ac:dyDescent="0.3">
      <c r="D70" s="3" t="s">
        <v>45</v>
      </c>
      <c r="E70" s="3">
        <v>200</v>
      </c>
      <c r="F70" s="3" t="s">
        <v>54</v>
      </c>
    </row>
    <row r="71" spans="4:9" x14ac:dyDescent="0.3">
      <c r="D71" s="3" t="s">
        <v>46</v>
      </c>
      <c r="E71" s="3">
        <v>150</v>
      </c>
      <c r="F71" s="3" t="s">
        <v>55</v>
      </c>
    </row>
    <row r="72" spans="4:9" x14ac:dyDescent="0.3">
      <c r="D72" s="3" t="s">
        <v>47</v>
      </c>
      <c r="E72" s="3">
        <v>250</v>
      </c>
      <c r="F72" s="3" t="s">
        <v>54</v>
      </c>
    </row>
    <row r="73" spans="4:9" x14ac:dyDescent="0.3">
      <c r="D73" t="s">
        <v>56</v>
      </c>
      <c r="E73" t="e">
        <f ca="1">_xlfn.MAXIFS(E70:E72,F70:F72,"Available")</f>
        <v>#NAME?</v>
      </c>
      <c r="F73" s="15" t="s">
        <v>57</v>
      </c>
      <c r="G73" s="15"/>
      <c r="H73" s="15"/>
      <c r="I73" s="15"/>
    </row>
    <row r="75" spans="4:9" x14ac:dyDescent="0.3">
      <c r="D75" t="s">
        <v>58</v>
      </c>
    </row>
    <row r="76" spans="4:9" x14ac:dyDescent="0.3">
      <c r="D76" t="s">
        <v>59</v>
      </c>
    </row>
    <row r="77" spans="4:9" x14ac:dyDescent="0.3">
      <c r="D77" s="2" t="s">
        <v>25</v>
      </c>
      <c r="E77" s="2" t="s">
        <v>26</v>
      </c>
      <c r="F77" s="2" t="s">
        <v>27</v>
      </c>
    </row>
    <row r="78" spans="4:9" x14ac:dyDescent="0.3">
      <c r="D78" s="3" t="s">
        <v>18</v>
      </c>
      <c r="E78" s="3" t="s">
        <v>28</v>
      </c>
      <c r="F78" s="3">
        <v>4000</v>
      </c>
    </row>
    <row r="79" spans="4:9" x14ac:dyDescent="0.3">
      <c r="D79" s="3" t="s">
        <v>19</v>
      </c>
      <c r="E79" s="3" t="s">
        <v>28</v>
      </c>
      <c r="F79" s="3">
        <v>5500</v>
      </c>
    </row>
    <row r="80" spans="4:9" x14ac:dyDescent="0.3">
      <c r="D80" s="3" t="s">
        <v>20</v>
      </c>
      <c r="E80" s="3" t="s">
        <v>29</v>
      </c>
      <c r="F80" s="3">
        <v>6000</v>
      </c>
    </row>
    <row r="81" spans="4:11" x14ac:dyDescent="0.3">
      <c r="D81" t="s">
        <v>60</v>
      </c>
      <c r="E81">
        <f>COUNTIFS(E78:E80,"HR",F78:F80,"&gt;5000")</f>
        <v>1</v>
      </c>
      <c r="F81" s="4" t="s">
        <v>61</v>
      </c>
      <c r="G81" s="4"/>
      <c r="H81" s="4"/>
      <c r="I81" s="4"/>
      <c r="J81" s="4"/>
    </row>
    <row r="83" spans="4:11" x14ac:dyDescent="0.3">
      <c r="D83" t="s">
        <v>62</v>
      </c>
    </row>
    <row r="84" spans="4:11" x14ac:dyDescent="0.3">
      <c r="D84" t="s">
        <v>63</v>
      </c>
    </row>
    <row r="85" spans="4:11" x14ac:dyDescent="0.3">
      <c r="D85" s="2" t="s">
        <v>43</v>
      </c>
      <c r="E85" s="2" t="s">
        <v>52</v>
      </c>
      <c r="F85" s="2" t="s">
        <v>3</v>
      </c>
    </row>
    <row r="86" spans="4:11" x14ac:dyDescent="0.3">
      <c r="D86" s="3" t="s">
        <v>45</v>
      </c>
      <c r="E86" s="3">
        <v>90</v>
      </c>
      <c r="F86" s="3">
        <v>1000</v>
      </c>
    </row>
    <row r="87" spans="4:11" x14ac:dyDescent="0.3">
      <c r="D87" s="3" t="s">
        <v>46</v>
      </c>
      <c r="E87" s="3">
        <v>150</v>
      </c>
      <c r="F87" s="3">
        <v>1200</v>
      </c>
    </row>
    <row r="88" spans="4:11" x14ac:dyDescent="0.3">
      <c r="D88" s="3" t="s">
        <v>47</v>
      </c>
      <c r="E88" s="3">
        <v>250</v>
      </c>
      <c r="F88" s="3">
        <v>1500</v>
      </c>
    </row>
    <row r="89" spans="4:11" x14ac:dyDescent="0.3">
      <c r="D89" t="s">
        <v>64</v>
      </c>
      <c r="E89">
        <f>AVERAGEIFS(F86:F88,E86:E88,"&gt;100",E86:E88,"&lt;300")</f>
        <v>1350</v>
      </c>
      <c r="F89" s="4" t="s">
        <v>65</v>
      </c>
      <c r="G89" s="4"/>
      <c r="H89" s="4"/>
      <c r="I89" s="4"/>
      <c r="J89" s="4"/>
      <c r="K89" s="4"/>
    </row>
  </sheetData>
  <mergeCells count="17">
    <mergeCell ref="F89:K89"/>
    <mergeCell ref="F49:G49"/>
    <mergeCell ref="D52:N52"/>
    <mergeCell ref="F57:H57"/>
    <mergeCell ref="F65:I65"/>
    <mergeCell ref="F73:I73"/>
    <mergeCell ref="F81:J81"/>
    <mergeCell ref="D2:F2"/>
    <mergeCell ref="D7:J7"/>
    <mergeCell ref="F8:G8"/>
    <mergeCell ref="D11:M11"/>
    <mergeCell ref="G21:H21"/>
    <mergeCell ref="F29:I29"/>
    <mergeCell ref="D32:P32"/>
    <mergeCell ref="D41:AD41"/>
    <mergeCell ref="D44:M44"/>
    <mergeCell ref="D24:L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Tabbu</dc:creator>
  <cp:lastModifiedBy>Tabbu</cp:lastModifiedBy>
  <dcterms:created xsi:type="dcterms:W3CDTF">2026-02-07T12:44:21Z</dcterms:created>
  <dcterms:modified xsi:type="dcterms:W3CDTF">2026-02-07T12:46:02Z</dcterms:modified>
</cp:coreProperties>
</file>