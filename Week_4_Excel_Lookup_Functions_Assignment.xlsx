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abbu\Downloads\"/>
    </mc:Choice>
  </mc:AlternateContent>
  <bookViews>
    <workbookView xWindow="0" yWindow="0" windowWidth="23040" windowHeight="10524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I17" i="1" l="1"/>
  <c r="L10" i="1" a="1"/>
  <c r="L10" i="1" s="1"/>
  <c r="I10" i="1"/>
  <c r="M7" i="1"/>
  <c r="I7" i="1"/>
  <c r="I3" i="1"/>
  <c r="I20" i="1" a="1"/>
  <c r="I13" i="1" a="1"/>
  <c r="I13" i="1" l="1"/>
  <c r="I20" i="1"/>
</calcChain>
</file>

<file path=xl/sharedStrings.xml><?xml version="1.0" encoding="utf-8"?>
<sst xmlns="http://schemas.openxmlformats.org/spreadsheetml/2006/main" count="522" uniqueCount="122">
  <si>
    <t>Product ID</t>
  </si>
  <si>
    <t>Product Name</t>
  </si>
  <si>
    <t>Category</t>
  </si>
  <si>
    <t>Price</t>
  </si>
  <si>
    <t>Stock</t>
  </si>
  <si>
    <t>Supplier</t>
  </si>
  <si>
    <t>1. Price of product id 25</t>
  </si>
  <si>
    <t>Product_1</t>
  </si>
  <si>
    <t>Home Appliances</t>
  </si>
  <si>
    <t>Supplier_C</t>
  </si>
  <si>
    <t>7. Retrieve price of the product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</si>
  <si>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</si>
  <si>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</si>
  <si>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</si>
  <si>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</si>
  <si>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</si>
  <si>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</si>
  <si>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</si>
  <si>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</si>
  <si>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</si>
  <si>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</si>
  <si>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</si>
  <si>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</si>
  <si>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</si>
  <si>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</si>
  <si>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</si>
  <si>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</si>
  <si>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</si>
  <si>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</si>
  <si>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</si>
  <si>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</si>
  <si>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</si>
  <si>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</si>
  <si>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</si>
  <si>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</si>
  <si>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</si>
  <si>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</si>
  <si>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</si>
  <si>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</si>
  <si>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</si>
  <si>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</si>
  <si>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</si>
  <si>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</si>
  <si>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</si>
  <si>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</si>
  <si>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</si>
  <si>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</si>
  <si>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</si>
  <si>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</si>
  <si>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</si>
  <si>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</si>
  <si>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</si>
  <si>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</si>
  <si>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</si>
  <si>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</si>
  <si>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</si>
  <si>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</si>
  <si>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</si>
  <si>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</si>
  <si>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</si>
  <si>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</si>
  <si>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</si>
  <si>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</si>
  <si>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</si>
  <si>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</si>
  <si>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</si>
  <si>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</si>
  <si>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</si>
  <si>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</si>
  <si>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</si>
  <si>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</si>
  <si>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</si>
  <si>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</si>
  <si>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</si>
  <si>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</si>
  <si>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</si>
  <si>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</si>
  <si>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</si>
  <si>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</si>
  <si>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</si>
  <si>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</si>
  <si>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</si>
  <si>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</si>
  <si>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</si>
  <si>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</si>
  <si>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</si>
  <si>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</si>
  <si>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</si>
  <si>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</si>
  <si>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</si>
  <si>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</si>
  <si>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</si>
  <si>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</si>
  <si>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</si>
  <si>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</si>
  <si>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</si>
  <si>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</si>
  <si>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</si>
  <si>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</si>
  <si>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</si>
  <si>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</si>
  <si>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</si>
  <si>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</si>
  <si>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</si>
  <si>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</si>
  <si>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</si>
  <si>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</si>
  <si>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</si>
  <si>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</si>
  <si>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</si>
  <si>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Stationery</t>
  </si>
  <si>
    <t>Electronics</t>
  </si>
  <si>
    <t>Accessories</t>
  </si>
  <si>
    <t>Supplier_D</t>
  </si>
  <si>
    <t>2. Stock for Product_50</t>
  </si>
  <si>
    <t>Supplier_A</t>
  </si>
  <si>
    <t>Supplier_B</t>
  </si>
  <si>
    <t>3.Retrieve name of supplier with the highest price</t>
  </si>
  <si>
    <t xml:space="preserve">8. Find Product NAme </t>
  </si>
  <si>
    <t>4. Category of product with the lowest stock</t>
  </si>
  <si>
    <t>5. Check if supplier_c sells any product in the Electronics Category</t>
  </si>
  <si>
    <t xml:space="preserve">6. Check if there is any stock less than 100, if yes find its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</si>
</sst>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3" fillId="0" borderId="0" xfId="0" applyFo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1000"/>
  <sheetViews>
    <sheetView tabSelected="1" workbookViewId="0"/>
  </sheetViews>
  <sheetFormatPr defaultColWidth="14.44140625" defaultRowHeight="15" customHeight="1" x14ac:dyDescent="0.3"/>
  <cols>
    <col min="1" max="1" width="10.5546875" customWidth="1"/>
    <col min="2" max="2" width="16.33203125" customWidth="1"/>
    <col min="3" max="3" width="18.109375" customWidth="1"/>
    <col min="4" max="5" width="8.6640625" customWidth="1"/>
    <col min="6" max="6" width="12" customWidth="1"/>
    <col min="7" max="7" width="8.6640625" customWidth="1"/>
    <col min="8" max="8" width="12.33203125" customWidth="1"/>
    <col min="9" max="9" width="43.5546875" customWidth="1"/>
    <col min="10" max="10" width="8.6640625" customWidth="1"/>
    <col min="11" max="11" width="27.6640625" customWidth="1"/>
    <col min="12" max="12" width="13.5546875" customWidth="1"/>
    <col min="13" max="112" width="8.6640625" customWidth="1"/>
  </cols>
  <sheetData>
    <row r="1" spans="1:11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2" t="s">
        <v>6</v>
      </c>
    </row>
    <row r="2" spans="1:112" ht="14.4" x14ac:dyDescent="0.3">
      <c r="A2" s="3">
        <v>1</v>
      </c>
      <c r="B2" s="3" t="s">
        <v>7</v>
      </c>
      <c r="C2" s="3" t="s">
        <v>8</v>
      </c>
      <c r="D2" s="3">
        <v>752</v>
      </c>
      <c r="E2" s="3">
        <v>231</v>
      </c>
      <c r="F2" s="3" t="s">
        <v>9</v>
      </c>
      <c r="I2" s="4">
        <v>25</v>
      </c>
      <c r="K2" s="2" t="s">
        <v>10</v>
      </c>
      <c r="L2" s="1" t="s">
        <v>1</v>
      </c>
      <c r="M2" s="3" t="s">
        <v>7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  <c r="S2" s="3" t="s">
        <v>16</v>
      </c>
      <c r="T2" s="3" t="s">
        <v>17</v>
      </c>
      <c r="U2" s="3" t="s">
        <v>18</v>
      </c>
      <c r="V2" s="3" t="s">
        <v>19</v>
      </c>
      <c r="W2" s="3" t="s">
        <v>20</v>
      </c>
      <c r="X2" s="3" t="s">
        <v>21</v>
      </c>
      <c r="Y2" s="3" t="s">
        <v>22</v>
      </c>
      <c r="Z2" s="3" t="s">
        <v>23</v>
      </c>
      <c r="AA2" s="3" t="s">
        <v>24</v>
      </c>
      <c r="AB2" s="3" t="s">
        <v>25</v>
      </c>
      <c r="AC2" s="3" t="s">
        <v>26</v>
      </c>
      <c r="AD2" s="3" t="s">
        <v>27</v>
      </c>
      <c r="AE2" s="3" t="s">
        <v>28</v>
      </c>
      <c r="AF2" s="3" t="s">
        <v>29</v>
      </c>
      <c r="AG2" s="3" t="s">
        <v>30</v>
      </c>
      <c r="AH2" s="3" t="s">
        <v>31</v>
      </c>
      <c r="AI2" s="3" t="s">
        <v>32</v>
      </c>
      <c r="AJ2" s="3" t="s">
        <v>33</v>
      </c>
      <c r="AK2" s="3" t="s">
        <v>34</v>
      </c>
      <c r="AL2" s="3" t="s">
        <v>35</v>
      </c>
      <c r="AM2" s="3" t="s">
        <v>36</v>
      </c>
      <c r="AN2" s="3" t="s">
        <v>37</v>
      </c>
      <c r="AO2" s="3" t="s">
        <v>38</v>
      </c>
      <c r="AP2" s="3" t="s">
        <v>39</v>
      </c>
      <c r="AQ2" s="3" t="s">
        <v>40</v>
      </c>
      <c r="AR2" s="3" t="s">
        <v>41</v>
      </c>
      <c r="AS2" s="3" t="s">
        <v>42</v>
      </c>
      <c r="AT2" s="3" t="s">
        <v>43</v>
      </c>
      <c r="AU2" s="3" t="s">
        <v>44</v>
      </c>
      <c r="AV2" s="3" t="s">
        <v>45</v>
      </c>
      <c r="AW2" s="3" t="s">
        <v>46</v>
      </c>
      <c r="AX2" s="3" t="s">
        <v>47</v>
      </c>
      <c r="AY2" s="3" t="s">
        <v>48</v>
      </c>
      <c r="AZ2" s="3" t="s">
        <v>49</v>
      </c>
      <c r="BA2" s="3" t="s">
        <v>50</v>
      </c>
      <c r="BB2" s="3" t="s">
        <v>51</v>
      </c>
      <c r="BC2" s="3" t="s">
        <v>52</v>
      </c>
      <c r="BD2" s="3" t="s">
        <v>53</v>
      </c>
      <c r="BE2" s="3" t="s">
        <v>54</v>
      </c>
      <c r="BF2" s="3" t="s">
        <v>55</v>
      </c>
      <c r="BG2" s="3" t="s">
        <v>56</v>
      </c>
      <c r="BH2" s="3" t="s">
        <v>57</v>
      </c>
      <c r="BI2" s="3" t="s">
        <v>58</v>
      </c>
      <c r="BJ2" s="3" t="s">
        <v>59</v>
      </c>
      <c r="BK2" s="3" t="s">
        <v>60</v>
      </c>
      <c r="BL2" s="3" t="s">
        <v>61</v>
      </c>
      <c r="BM2" s="3" t="s">
        <v>62</v>
      </c>
      <c r="BN2" s="3" t="s">
        <v>63</v>
      </c>
      <c r="BO2" s="3" t="s">
        <v>64</v>
      </c>
      <c r="BP2" s="3" t="s">
        <v>65</v>
      </c>
      <c r="BQ2" s="3" t="s">
        <v>66</v>
      </c>
      <c r="BR2" s="3" t="s">
        <v>67</v>
      </c>
      <c r="BS2" s="3" t="s">
        <v>68</v>
      </c>
      <c r="BT2" s="3" t="s">
        <v>69</v>
      </c>
      <c r="BU2" s="3" t="s">
        <v>70</v>
      </c>
      <c r="BV2" s="3" t="s">
        <v>71</v>
      </c>
      <c r="BW2" s="3" t="s">
        <v>72</v>
      </c>
      <c r="BX2" s="3" t="s">
        <v>73</v>
      </c>
      <c r="BY2" s="3" t="s">
        <v>74</v>
      </c>
      <c r="BZ2" s="3" t="s">
        <v>75</v>
      </c>
      <c r="CA2" s="3" t="s">
        <v>76</v>
      </c>
      <c r="CB2" s="3" t="s">
        <v>77</v>
      </c>
      <c r="CC2" s="3" t="s">
        <v>78</v>
      </c>
      <c r="CD2" s="3" t="s">
        <v>79</v>
      </c>
      <c r="CE2" s="3" t="s">
        <v>80</v>
      </c>
      <c r="CF2" s="3" t="s">
        <v>81</v>
      </c>
      <c r="CG2" s="3" t="s">
        <v>82</v>
      </c>
      <c r="CH2" s="3" t="s">
        <v>83</v>
      </c>
      <c r="CI2" s="3" t="s">
        <v>84</v>
      </c>
      <c r="CJ2" s="3" t="s">
        <v>85</v>
      </c>
      <c r="CK2" s="3" t="s">
        <v>86</v>
      </c>
      <c r="CL2" s="3" t="s">
        <v>87</v>
      </c>
      <c r="CM2" s="3" t="s">
        <v>88</v>
      </c>
      <c r="CN2" s="3" t="s">
        <v>89</v>
      </c>
      <c r="CO2" s="3" t="s">
        <v>90</v>
      </c>
      <c r="CP2" s="3" t="s">
        <v>91</v>
      </c>
      <c r="CQ2" s="3" t="s">
        <v>92</v>
      </c>
      <c r="CR2" s="3" t="s">
        <v>93</v>
      </c>
      <c r="CS2" s="3" t="s">
        <v>94</v>
      </c>
      <c r="CT2" s="3" t="s">
        <v>95</v>
      </c>
      <c r="CU2" s="3" t="s">
        <v>96</v>
      </c>
      <c r="CV2" s="3" t="s">
        <v>97</v>
      </c>
      <c r="CW2" s="3" t="s">
        <v>98</v>
      </c>
      <c r="CX2" s="3" t="s">
        <v>99</v>
      </c>
      <c r="CY2" s="3" t="s">
        <v>100</v>
      </c>
      <c r="CZ2" s="3" t="s">
        <v>101</v>
      </c>
      <c r="DA2" s="3" t="s">
        <v>102</v>
      </c>
      <c r="DB2" s="3" t="s">
        <v>103</v>
      </c>
      <c r="DC2" s="3" t="s">
        <v>104</v>
      </c>
      <c r="DD2" s="3" t="s">
        <v>105</v>
      </c>
      <c r="DE2" s="3" t="s">
        <v>106</v>
      </c>
      <c r="DF2" s="3" t="s">
        <v>107</v>
      </c>
      <c r="DG2" s="3" t="s">
        <v>108</v>
      </c>
      <c r="DH2" s="3" t="s">
        <v>109</v>
      </c>
    </row>
    <row r="3" spans="1:112" ht="14.4" x14ac:dyDescent="0.3">
      <c r="A3" s="3">
        <v>2</v>
      </c>
      <c r="B3" s="3" t="s">
        <v>11</v>
      </c>
      <c r="C3" s="3" t="s">
        <v>110</v>
      </c>
      <c r="D3" s="3">
        <v>451</v>
      </c>
      <c r="E3" s="3">
        <v>494</v>
      </c>
      <c r="F3" s="3" t="s">
        <v>9</v>
      </c>
      <c r="I3" s="3">
        <f>VLOOKUP(I2,A1:F101,4,0)</f>
        <v>266</v>
      </c>
      <c r="L3" s="1" t="s">
        <v>2</v>
      </c>
      <c r="M3" s="3" t="s">
        <v>8</v>
      </c>
      <c r="N3" s="3" t="s">
        <v>110</v>
      </c>
      <c r="O3" s="3" t="s">
        <v>111</v>
      </c>
      <c r="P3" s="3" t="s">
        <v>8</v>
      </c>
      <c r="Q3" s="3" t="s">
        <v>8</v>
      </c>
      <c r="R3" s="3" t="s">
        <v>110</v>
      </c>
      <c r="S3" s="3" t="s">
        <v>111</v>
      </c>
      <c r="T3" s="3" t="s">
        <v>111</v>
      </c>
      <c r="U3" s="3" t="s">
        <v>8</v>
      </c>
      <c r="V3" s="3" t="s">
        <v>112</v>
      </c>
      <c r="W3" s="3" t="s">
        <v>8</v>
      </c>
      <c r="X3" s="3" t="s">
        <v>8</v>
      </c>
      <c r="Y3" s="3" t="s">
        <v>8</v>
      </c>
      <c r="Z3" s="3" t="s">
        <v>8</v>
      </c>
      <c r="AA3" s="3" t="s">
        <v>110</v>
      </c>
      <c r="AB3" s="3" t="s">
        <v>111</v>
      </c>
      <c r="AC3" s="3" t="s">
        <v>110</v>
      </c>
      <c r="AD3" s="3" t="s">
        <v>110</v>
      </c>
      <c r="AE3" s="3" t="s">
        <v>110</v>
      </c>
      <c r="AF3" s="3" t="s">
        <v>8</v>
      </c>
      <c r="AG3" s="3" t="s">
        <v>112</v>
      </c>
      <c r="AH3" s="3" t="s">
        <v>111</v>
      </c>
      <c r="AI3" s="3" t="s">
        <v>112</v>
      </c>
      <c r="AJ3" s="3" t="s">
        <v>110</v>
      </c>
      <c r="AK3" s="3" t="s">
        <v>110</v>
      </c>
      <c r="AL3" s="3" t="s">
        <v>112</v>
      </c>
      <c r="AM3" s="3" t="s">
        <v>112</v>
      </c>
      <c r="AN3" s="3" t="s">
        <v>112</v>
      </c>
      <c r="AO3" s="3" t="s">
        <v>110</v>
      </c>
      <c r="AP3" s="3" t="s">
        <v>110</v>
      </c>
      <c r="AQ3" s="3" t="s">
        <v>111</v>
      </c>
      <c r="AR3" s="3" t="s">
        <v>111</v>
      </c>
      <c r="AS3" s="3" t="s">
        <v>110</v>
      </c>
      <c r="AT3" s="3" t="s">
        <v>112</v>
      </c>
      <c r="AU3" s="3" t="s">
        <v>112</v>
      </c>
      <c r="AV3" s="3" t="s">
        <v>111</v>
      </c>
      <c r="AW3" s="3" t="s">
        <v>110</v>
      </c>
      <c r="AX3" s="3" t="s">
        <v>111</v>
      </c>
      <c r="AY3" s="3" t="s">
        <v>111</v>
      </c>
      <c r="AZ3" s="3" t="s">
        <v>8</v>
      </c>
      <c r="BA3" s="3" t="s">
        <v>8</v>
      </c>
      <c r="BB3" s="3" t="s">
        <v>8</v>
      </c>
      <c r="BC3" s="3" t="s">
        <v>112</v>
      </c>
      <c r="BD3" s="3" t="s">
        <v>110</v>
      </c>
      <c r="BE3" s="3" t="s">
        <v>110</v>
      </c>
      <c r="BF3" s="3" t="s">
        <v>110</v>
      </c>
      <c r="BG3" s="3" t="s">
        <v>110</v>
      </c>
      <c r="BH3" s="3" t="s">
        <v>8</v>
      </c>
      <c r="BI3" s="3" t="s">
        <v>112</v>
      </c>
      <c r="BJ3" s="3" t="s">
        <v>112</v>
      </c>
      <c r="BK3" s="3" t="s">
        <v>8</v>
      </c>
      <c r="BL3" s="3" t="s">
        <v>112</v>
      </c>
      <c r="BM3" s="3" t="s">
        <v>8</v>
      </c>
      <c r="BN3" s="3" t="s">
        <v>110</v>
      </c>
      <c r="BO3" s="3" t="s">
        <v>8</v>
      </c>
      <c r="BP3" s="3" t="s">
        <v>110</v>
      </c>
      <c r="BQ3" s="3" t="s">
        <v>110</v>
      </c>
      <c r="BR3" s="3" t="s">
        <v>111</v>
      </c>
      <c r="BS3" s="3" t="s">
        <v>8</v>
      </c>
      <c r="BT3" s="3" t="s">
        <v>111</v>
      </c>
      <c r="BU3" s="3" t="s">
        <v>8</v>
      </c>
      <c r="BV3" s="3" t="s">
        <v>8</v>
      </c>
      <c r="BW3" s="3" t="s">
        <v>111</v>
      </c>
      <c r="BX3" s="3" t="s">
        <v>111</v>
      </c>
      <c r="BY3" s="3" t="s">
        <v>8</v>
      </c>
      <c r="BZ3" s="3" t="s">
        <v>112</v>
      </c>
      <c r="CA3" s="3" t="s">
        <v>110</v>
      </c>
      <c r="CB3" s="3" t="s">
        <v>111</v>
      </c>
      <c r="CC3" s="3" t="s">
        <v>110</v>
      </c>
      <c r="CD3" s="3" t="s">
        <v>112</v>
      </c>
      <c r="CE3" s="3" t="s">
        <v>112</v>
      </c>
      <c r="CF3" s="3" t="s">
        <v>112</v>
      </c>
      <c r="CG3" s="3" t="s">
        <v>111</v>
      </c>
      <c r="CH3" s="3" t="s">
        <v>112</v>
      </c>
      <c r="CI3" s="3" t="s">
        <v>111</v>
      </c>
      <c r="CJ3" s="3" t="s">
        <v>112</v>
      </c>
      <c r="CK3" s="3" t="s">
        <v>110</v>
      </c>
      <c r="CL3" s="3" t="s">
        <v>110</v>
      </c>
      <c r="CM3" s="3" t="s">
        <v>8</v>
      </c>
      <c r="CN3" s="3" t="s">
        <v>110</v>
      </c>
      <c r="CO3" s="3" t="s">
        <v>8</v>
      </c>
      <c r="CP3" s="3" t="s">
        <v>110</v>
      </c>
      <c r="CQ3" s="3" t="s">
        <v>111</v>
      </c>
      <c r="CR3" s="3" t="s">
        <v>110</v>
      </c>
      <c r="CS3" s="3" t="s">
        <v>8</v>
      </c>
      <c r="CT3" s="3" t="s">
        <v>8</v>
      </c>
      <c r="CU3" s="3" t="s">
        <v>112</v>
      </c>
      <c r="CV3" s="3" t="s">
        <v>111</v>
      </c>
      <c r="CW3" s="3" t="s">
        <v>110</v>
      </c>
      <c r="CX3" s="3" t="s">
        <v>112</v>
      </c>
      <c r="CY3" s="3" t="s">
        <v>110</v>
      </c>
      <c r="CZ3" s="3" t="s">
        <v>110</v>
      </c>
      <c r="DA3" s="3" t="s">
        <v>112</v>
      </c>
      <c r="DB3" s="3" t="s">
        <v>112</v>
      </c>
      <c r="DC3" s="3" t="s">
        <v>112</v>
      </c>
      <c r="DD3" s="3" t="s">
        <v>112</v>
      </c>
      <c r="DE3" s="3" t="s">
        <v>112</v>
      </c>
      <c r="DF3" s="3" t="s">
        <v>110</v>
      </c>
      <c r="DG3" s="3" t="s">
        <v>112</v>
      </c>
      <c r="DH3" s="3" t="s">
        <v>111</v>
      </c>
    </row>
    <row r="4" spans="1:112" ht="14.4" x14ac:dyDescent="0.3">
      <c r="A4" s="3">
        <v>3</v>
      </c>
      <c r="B4" s="3" t="s">
        <v>12</v>
      </c>
      <c r="C4" s="3" t="s">
        <v>111</v>
      </c>
      <c r="D4" s="3">
        <v>779</v>
      </c>
      <c r="E4" s="3">
        <v>416</v>
      </c>
      <c r="F4" s="3" t="s">
        <v>113</v>
      </c>
      <c r="L4" s="1" t="s">
        <v>3</v>
      </c>
      <c r="M4" s="3">
        <v>752</v>
      </c>
      <c r="N4" s="3">
        <v>451</v>
      </c>
      <c r="O4" s="3">
        <v>779</v>
      </c>
      <c r="P4" s="3">
        <v>605</v>
      </c>
      <c r="Q4" s="3">
        <v>211</v>
      </c>
      <c r="R4" s="3">
        <v>251</v>
      </c>
      <c r="S4" s="3">
        <v>319</v>
      </c>
      <c r="T4" s="3">
        <v>912</v>
      </c>
      <c r="U4" s="3">
        <v>865</v>
      </c>
      <c r="V4" s="3">
        <v>320</v>
      </c>
      <c r="W4" s="3">
        <v>505</v>
      </c>
      <c r="X4" s="3">
        <v>511</v>
      </c>
      <c r="Y4" s="3">
        <v>776</v>
      </c>
      <c r="Z4" s="3">
        <v>301</v>
      </c>
      <c r="AA4" s="3">
        <v>751</v>
      </c>
      <c r="AB4" s="3">
        <v>345</v>
      </c>
      <c r="AC4" s="3">
        <v>774</v>
      </c>
      <c r="AD4" s="3">
        <v>769</v>
      </c>
      <c r="AE4" s="3">
        <v>798</v>
      </c>
      <c r="AF4" s="3">
        <v>387</v>
      </c>
      <c r="AG4" s="3">
        <v>928</v>
      </c>
      <c r="AH4" s="3">
        <v>102</v>
      </c>
      <c r="AI4" s="3">
        <v>841</v>
      </c>
      <c r="AJ4" s="3">
        <v>971</v>
      </c>
      <c r="AK4" s="3">
        <v>266</v>
      </c>
      <c r="AL4" s="3">
        <v>813</v>
      </c>
      <c r="AM4" s="3">
        <v>237</v>
      </c>
      <c r="AN4" s="3">
        <v>429</v>
      </c>
      <c r="AO4" s="3">
        <v>542</v>
      </c>
      <c r="AP4" s="3">
        <v>90</v>
      </c>
      <c r="AQ4" s="3">
        <v>206</v>
      </c>
      <c r="AR4" s="3">
        <v>64</v>
      </c>
      <c r="AS4" s="3">
        <v>862</v>
      </c>
      <c r="AT4" s="3">
        <v>114</v>
      </c>
      <c r="AU4" s="3">
        <v>906</v>
      </c>
      <c r="AV4" s="3">
        <v>888</v>
      </c>
      <c r="AW4" s="3">
        <v>570</v>
      </c>
      <c r="AX4" s="3">
        <v>393</v>
      </c>
      <c r="AY4" s="3">
        <v>178</v>
      </c>
      <c r="AZ4" s="3">
        <v>697</v>
      </c>
      <c r="BA4" s="3">
        <v>521</v>
      </c>
      <c r="BB4" s="3">
        <v>112</v>
      </c>
      <c r="BC4" s="3">
        <v>188</v>
      </c>
      <c r="BD4" s="3">
        <v>548</v>
      </c>
      <c r="BE4" s="3">
        <v>642</v>
      </c>
      <c r="BF4" s="3">
        <v>441</v>
      </c>
      <c r="BG4" s="3">
        <v>724</v>
      </c>
      <c r="BH4" s="3">
        <v>468</v>
      </c>
      <c r="BI4" s="3">
        <v>338</v>
      </c>
      <c r="BJ4" s="3">
        <v>428</v>
      </c>
      <c r="BK4" s="3">
        <v>822</v>
      </c>
      <c r="BL4" s="3">
        <v>539</v>
      </c>
      <c r="BM4" s="3">
        <v>280</v>
      </c>
      <c r="BN4" s="3">
        <v>90</v>
      </c>
      <c r="BO4" s="3">
        <v>77</v>
      </c>
      <c r="BP4" s="3">
        <v>184</v>
      </c>
      <c r="BQ4" s="3">
        <v>250</v>
      </c>
      <c r="BR4" s="3">
        <v>889</v>
      </c>
      <c r="BS4" s="3">
        <v>829</v>
      </c>
      <c r="BT4" s="3">
        <v>979</v>
      </c>
      <c r="BU4" s="3">
        <v>82</v>
      </c>
      <c r="BV4" s="3">
        <v>97</v>
      </c>
      <c r="BW4" s="3">
        <v>552</v>
      </c>
      <c r="BX4" s="3">
        <v>456</v>
      </c>
      <c r="BY4" s="3">
        <v>623</v>
      </c>
      <c r="BZ4" s="3">
        <v>777</v>
      </c>
      <c r="CA4" s="3">
        <v>854</v>
      </c>
      <c r="CB4" s="3">
        <v>148</v>
      </c>
      <c r="CC4" s="3">
        <v>733</v>
      </c>
      <c r="CD4" s="3">
        <v>921</v>
      </c>
      <c r="CE4" s="3">
        <v>775</v>
      </c>
      <c r="CF4" s="3">
        <v>596</v>
      </c>
      <c r="CG4" s="3">
        <v>788</v>
      </c>
      <c r="CH4" s="3">
        <v>662</v>
      </c>
      <c r="CI4" s="3">
        <v>992</v>
      </c>
      <c r="CJ4" s="3">
        <v>511</v>
      </c>
      <c r="CK4" s="3">
        <v>692</v>
      </c>
      <c r="CL4" s="3">
        <v>818</v>
      </c>
      <c r="CM4" s="3">
        <v>54</v>
      </c>
      <c r="CN4" s="3">
        <v>267</v>
      </c>
      <c r="CO4" s="3">
        <v>552</v>
      </c>
      <c r="CP4" s="3">
        <v>816</v>
      </c>
      <c r="CQ4" s="3">
        <v>447</v>
      </c>
      <c r="CR4" s="3">
        <v>920</v>
      </c>
      <c r="CS4" s="3">
        <v>844</v>
      </c>
      <c r="CT4" s="3">
        <v>442</v>
      </c>
      <c r="CU4" s="3">
        <v>256</v>
      </c>
      <c r="CV4" s="3">
        <v>64</v>
      </c>
      <c r="CW4" s="3">
        <v>907</v>
      </c>
      <c r="CX4" s="3">
        <v>603</v>
      </c>
      <c r="CY4" s="3">
        <v>941</v>
      </c>
      <c r="CZ4" s="3">
        <v>510</v>
      </c>
      <c r="DA4" s="3">
        <v>740</v>
      </c>
      <c r="DB4" s="3">
        <v>624</v>
      </c>
      <c r="DC4" s="3">
        <v>913</v>
      </c>
      <c r="DD4" s="3">
        <v>792</v>
      </c>
      <c r="DE4" s="3">
        <v>290</v>
      </c>
      <c r="DF4" s="3">
        <v>613</v>
      </c>
      <c r="DG4" s="3">
        <v>145</v>
      </c>
      <c r="DH4" s="3">
        <v>949</v>
      </c>
    </row>
    <row r="5" spans="1:112" ht="14.4" x14ac:dyDescent="0.3">
      <c r="A5" s="3">
        <v>4</v>
      </c>
      <c r="B5" s="3" t="s">
        <v>13</v>
      </c>
      <c r="C5" s="3" t="s">
        <v>8</v>
      </c>
      <c r="D5" s="3">
        <v>605</v>
      </c>
      <c r="E5" s="3">
        <v>240</v>
      </c>
      <c r="F5" s="3" t="s">
        <v>9</v>
      </c>
      <c r="I5" s="2" t="s">
        <v>114</v>
      </c>
    </row>
    <row r="6" spans="1:112" ht="14.4" x14ac:dyDescent="0.3">
      <c r="A6" s="3">
        <v>5</v>
      </c>
      <c r="B6" s="3" t="s">
        <v>14</v>
      </c>
      <c r="C6" s="3" t="s">
        <v>8</v>
      </c>
      <c r="D6" s="3">
        <v>211</v>
      </c>
      <c r="E6" s="3">
        <v>246</v>
      </c>
      <c r="F6" s="3" t="s">
        <v>115</v>
      </c>
      <c r="I6" s="4" t="s">
        <v>59</v>
      </c>
      <c r="L6" s="2" t="s">
        <v>73</v>
      </c>
      <c r="M6" s="2" t="s">
        <v>3</v>
      </c>
    </row>
    <row r="7" spans="1:112" ht="14.4" x14ac:dyDescent="0.3">
      <c r="A7" s="3">
        <v>6</v>
      </c>
      <c r="B7" s="3" t="s">
        <v>15</v>
      </c>
      <c r="C7" s="3" t="s">
        <v>110</v>
      </c>
      <c r="D7" s="3">
        <v>251</v>
      </c>
      <c r="E7" s="3">
        <v>152</v>
      </c>
      <c r="F7" s="3" t="s">
        <v>9</v>
      </c>
      <c r="I7" s="3">
        <f>VLOOKUP(I6,B1:F101,4,0)</f>
        <v>146</v>
      </c>
      <c r="M7" s="3">
        <f>HLOOKUP(L6,$L2:$DH4,3,0)</f>
        <v>456</v>
      </c>
    </row>
    <row r="8" spans="1:112" ht="14.4" x14ac:dyDescent="0.3">
      <c r="A8" s="3">
        <v>7</v>
      </c>
      <c r="B8" s="3" t="s">
        <v>16</v>
      </c>
      <c r="C8" s="3" t="s">
        <v>111</v>
      </c>
      <c r="D8" s="3">
        <v>319</v>
      </c>
      <c r="E8" s="3">
        <v>180</v>
      </c>
      <c r="F8" s="3" t="s">
        <v>116</v>
      </c>
    </row>
    <row r="9" spans="1:112" ht="14.4" x14ac:dyDescent="0.3">
      <c r="A9" s="3">
        <v>8</v>
      </c>
      <c r="B9" s="3" t="s">
        <v>17</v>
      </c>
      <c r="C9" s="3" t="s">
        <v>111</v>
      </c>
      <c r="D9" s="3">
        <v>912</v>
      </c>
      <c r="E9" s="3">
        <v>38</v>
      </c>
      <c r="F9" s="3" t="s">
        <v>113</v>
      </c>
      <c r="I9" s="2" t="s">
        <v>117</v>
      </c>
      <c r="K9" s="2" t="s">
        <v>118</v>
      </c>
    </row>
    <row r="10" spans="1:112" ht="14.4" x14ac:dyDescent="0.3">
      <c r="A10" s="3">
        <v>9</v>
      </c>
      <c r="B10" s="3" t="s">
        <v>18</v>
      </c>
      <c r="C10" s="3" t="s">
        <v>8</v>
      </c>
      <c r="D10" s="3">
        <v>865</v>
      </c>
      <c r="E10" s="3">
        <v>45</v>
      </c>
      <c r="F10" s="3" t="s">
        <v>115</v>
      </c>
      <c r="I10" s="3" t="str">
        <f>VLOOKUP(MAX(D1:D101),D1:F101,3,0)</f>
        <v>Supplier_C</v>
      </c>
      <c r="K10" s="4" t="s">
        <v>108</v>
      </c>
      <c r="L10" s="3" t="str">
        <f t="array" ref="L10">INDEX(C1:C101,MATCH(K10,B1:B101,0))</f>
        <v>Accessories</v>
      </c>
    </row>
    <row r="11" spans="1:112" ht="14.4" x14ac:dyDescent="0.3">
      <c r="A11" s="3">
        <v>10</v>
      </c>
      <c r="B11" s="3" t="s">
        <v>19</v>
      </c>
      <c r="C11" s="3" t="s">
        <v>112</v>
      </c>
      <c r="D11" s="3">
        <v>320</v>
      </c>
      <c r="E11" s="3">
        <v>22</v>
      </c>
      <c r="F11" s="3" t="s">
        <v>113</v>
      </c>
    </row>
    <row r="12" spans="1:112" ht="14.4" x14ac:dyDescent="0.3">
      <c r="A12" s="3">
        <v>11</v>
      </c>
      <c r="B12" s="3" t="s">
        <v>20</v>
      </c>
      <c r="C12" s="3" t="s">
        <v>8</v>
      </c>
      <c r="D12" s="3">
        <v>505</v>
      </c>
      <c r="E12" s="3">
        <v>169</v>
      </c>
      <c r="F12" s="3" t="s">
        <v>116</v>
      </c>
      <c r="I12" s="2" t="s">
        <v>119</v>
      </c>
    </row>
    <row r="13" spans="1:112" ht="14.4" x14ac:dyDescent="0.3">
      <c r="A13" s="3">
        <v>12</v>
      </c>
      <c r="B13" s="3" t="s">
        <v>21</v>
      </c>
      <c r="C13" s="3" t="s">
        <v>8</v>
      </c>
      <c r="D13" s="3">
        <v>511</v>
      </c>
      <c r="E13" s="3">
        <v>336</v>
      </c>
      <c r="F13" s="3" t="s">
        <v>116</v>
      </c>
      <c r="I13" s="3" t="e">
        <f t="array" aca="1" ref="I13" ca="1">xlookup(MIN(E1:E101),E1:E101,C1:C101,0)</f>
        <v>#NAME?</v>
      </c>
    </row>
    <row r="14" spans="1:112" ht="14.4" x14ac:dyDescent="0.3">
      <c r="A14" s="3">
        <v>13</v>
      </c>
      <c r="B14" s="3" t="s">
        <v>22</v>
      </c>
      <c r="C14" s="3" t="s">
        <v>8</v>
      </c>
      <c r="D14" s="3">
        <v>776</v>
      </c>
      <c r="E14" s="3">
        <v>196</v>
      </c>
      <c r="F14" s="3" t="s">
        <v>116</v>
      </c>
    </row>
    <row r="15" spans="1:112" ht="14.4" x14ac:dyDescent="0.3">
      <c r="A15" s="3">
        <v>14</v>
      </c>
      <c r="B15" s="3" t="s">
        <v>23</v>
      </c>
      <c r="C15" s="3" t="s">
        <v>8</v>
      </c>
      <c r="D15" s="3">
        <v>301</v>
      </c>
      <c r="E15" s="3">
        <v>252</v>
      </c>
      <c r="F15" s="3" t="s">
        <v>9</v>
      </c>
      <c r="I15" s="2" t="s">
        <v>120</v>
      </c>
    </row>
    <row r="16" spans="1:112" ht="14.4" x14ac:dyDescent="0.3">
      <c r="A16" s="3">
        <v>15</v>
      </c>
      <c r="B16" s="3" t="s">
        <v>24</v>
      </c>
      <c r="C16" s="3" t="s">
        <v>110</v>
      </c>
      <c r="D16" s="3">
        <v>751</v>
      </c>
      <c r="E16" s="3">
        <v>95</v>
      </c>
      <c r="F16" s="3" t="s">
        <v>9</v>
      </c>
      <c r="I16" s="4" t="s">
        <v>9</v>
      </c>
    </row>
    <row r="17" spans="1:9" ht="14.4" x14ac:dyDescent="0.3">
      <c r="A17" s="3">
        <v>16</v>
      </c>
      <c r="B17" s="3" t="s">
        <v>25</v>
      </c>
      <c r="C17" s="3" t="s">
        <v>111</v>
      </c>
      <c r="D17" s="3">
        <v>345</v>
      </c>
      <c r="E17" s="3">
        <v>293</v>
      </c>
      <c r="F17" s="3" t="s">
        <v>113</v>
      </c>
      <c r="I17" s="3" t="str">
        <f>IF(COUNTIFS(F1:F101,"Supplier_C",C1:C101,"Electronics")&gt;0,"Yes","No")</f>
        <v>Yes</v>
      </c>
    </row>
    <row r="18" spans="1:9" ht="14.4" x14ac:dyDescent="0.3">
      <c r="A18" s="3">
        <v>17</v>
      </c>
      <c r="B18" s="3" t="s">
        <v>26</v>
      </c>
      <c r="C18" s="3" t="s">
        <v>110</v>
      </c>
      <c r="D18" s="3">
        <v>774</v>
      </c>
      <c r="E18" s="3">
        <v>75</v>
      </c>
      <c r="F18" s="3" t="s">
        <v>113</v>
      </c>
    </row>
    <row r="19" spans="1:9" ht="14.4" x14ac:dyDescent="0.3">
      <c r="A19" s="3">
        <v>18</v>
      </c>
      <c r="B19" s="3" t="s">
        <v>27</v>
      </c>
      <c r="C19" s="3" t="s">
        <v>110</v>
      </c>
      <c r="D19" s="3">
        <v>769</v>
      </c>
      <c r="E19" s="3">
        <v>179</v>
      </c>
      <c r="F19" s="3" t="s">
        <v>115</v>
      </c>
      <c r="I19" s="2" t="s">
        <v>121</v>
      </c>
    </row>
    <row r="20" spans="1:9" ht="14.4" x14ac:dyDescent="0.3">
      <c r="A20" s="3">
        <v>19</v>
      </c>
      <c r="B20" s="3" t="s">
        <v>28</v>
      </c>
      <c r="C20" s="3" t="s">
        <v>110</v>
      </c>
      <c r="D20" s="3">
        <v>798</v>
      </c>
      <c r="E20" s="3">
        <v>54</v>
      </c>
      <c r="F20" s="3" t="s">
        <v>115</v>
      </c>
      <c r="I20" s="3" t="e">
        <f t="array" aca="1" ref="I20" ca="1">IF(MIN(E1:E101)&lt;100,xlookup(MIN(E1:E101),E1:E101,C1:C101,0),"No Stock is below 100")</f>
        <v>#NAME?</v>
      </c>
    </row>
    <row r="21" spans="1:9" ht="15.75" customHeight="1" x14ac:dyDescent="0.3">
      <c r="A21" s="3">
        <v>20</v>
      </c>
      <c r="B21" s="3" t="s">
        <v>29</v>
      </c>
      <c r="C21" s="3" t="s">
        <v>8</v>
      </c>
      <c r="D21" s="3">
        <v>387</v>
      </c>
      <c r="E21" s="3">
        <v>71</v>
      </c>
      <c r="F21" s="3" t="s">
        <v>113</v>
      </c>
    </row>
    <row r="22" spans="1:9" ht="15.75" customHeight="1" x14ac:dyDescent="0.3">
      <c r="A22" s="3">
        <v>21</v>
      </c>
      <c r="B22" s="3" t="s">
        <v>30</v>
      </c>
      <c r="C22" s="3" t="s">
        <v>112</v>
      </c>
      <c r="D22" s="3">
        <v>928</v>
      </c>
      <c r="E22" s="3">
        <v>450</v>
      </c>
      <c r="F22" s="3" t="s">
        <v>9</v>
      </c>
    </row>
    <row r="23" spans="1:9" ht="15.75" customHeight="1" x14ac:dyDescent="0.3">
      <c r="A23" s="3">
        <v>22</v>
      </c>
      <c r="B23" s="3" t="s">
        <v>31</v>
      </c>
      <c r="C23" s="3" t="s">
        <v>111</v>
      </c>
      <c r="D23" s="3">
        <v>102</v>
      </c>
      <c r="E23" s="3">
        <v>143</v>
      </c>
      <c r="F23" s="3" t="s">
        <v>116</v>
      </c>
    </row>
    <row r="24" spans="1:9" ht="15.75" customHeight="1" x14ac:dyDescent="0.3">
      <c r="A24" s="3">
        <v>23</v>
      </c>
      <c r="B24" s="3" t="s">
        <v>32</v>
      </c>
      <c r="C24" s="3" t="s">
        <v>112</v>
      </c>
      <c r="D24" s="3">
        <v>841</v>
      </c>
      <c r="E24" s="3">
        <v>293</v>
      </c>
      <c r="F24" s="3" t="s">
        <v>113</v>
      </c>
    </row>
    <row r="25" spans="1:9" ht="15.75" customHeight="1" x14ac:dyDescent="0.3">
      <c r="A25" s="3">
        <v>24</v>
      </c>
      <c r="B25" s="3" t="s">
        <v>33</v>
      </c>
      <c r="C25" s="3" t="s">
        <v>110</v>
      </c>
      <c r="D25" s="3">
        <v>971</v>
      </c>
      <c r="E25" s="3">
        <v>37</v>
      </c>
      <c r="F25" s="3" t="s">
        <v>115</v>
      </c>
    </row>
    <row r="26" spans="1:9" ht="15.75" customHeight="1" x14ac:dyDescent="0.3">
      <c r="A26" s="3">
        <v>25</v>
      </c>
      <c r="B26" s="3" t="s">
        <v>34</v>
      </c>
      <c r="C26" s="3" t="s">
        <v>110</v>
      </c>
      <c r="D26" s="3">
        <v>266</v>
      </c>
      <c r="E26" s="3">
        <v>117</v>
      </c>
      <c r="F26" s="3" t="s">
        <v>9</v>
      </c>
    </row>
    <row r="27" spans="1:9" ht="15.75" customHeight="1" x14ac:dyDescent="0.3">
      <c r="A27" s="3">
        <v>26</v>
      </c>
      <c r="B27" s="3" t="s">
        <v>35</v>
      </c>
      <c r="C27" s="3" t="s">
        <v>112</v>
      </c>
      <c r="D27" s="3">
        <v>813</v>
      </c>
      <c r="E27" s="3">
        <v>53</v>
      </c>
      <c r="F27" s="3" t="s">
        <v>113</v>
      </c>
    </row>
    <row r="28" spans="1:9" ht="15.75" customHeight="1" x14ac:dyDescent="0.3">
      <c r="A28" s="3">
        <v>27</v>
      </c>
      <c r="B28" s="3" t="s">
        <v>36</v>
      </c>
      <c r="C28" s="3" t="s">
        <v>112</v>
      </c>
      <c r="D28" s="3">
        <v>237</v>
      </c>
      <c r="E28" s="3">
        <v>349</v>
      </c>
      <c r="F28" s="3" t="s">
        <v>113</v>
      </c>
    </row>
    <row r="29" spans="1:9" ht="15.75" customHeight="1" x14ac:dyDescent="0.3">
      <c r="A29" s="3">
        <v>28</v>
      </c>
      <c r="B29" s="3" t="s">
        <v>37</v>
      </c>
      <c r="C29" s="3" t="s">
        <v>112</v>
      </c>
      <c r="D29" s="3">
        <v>429</v>
      </c>
      <c r="E29" s="3">
        <v>295</v>
      </c>
      <c r="F29" s="3" t="s">
        <v>9</v>
      </c>
    </row>
    <row r="30" spans="1:9" ht="15.75" customHeight="1" x14ac:dyDescent="0.3">
      <c r="A30" s="3">
        <v>29</v>
      </c>
      <c r="B30" s="3" t="s">
        <v>38</v>
      </c>
      <c r="C30" s="3" t="s">
        <v>110</v>
      </c>
      <c r="D30" s="3">
        <v>542</v>
      </c>
      <c r="E30" s="3">
        <v>455</v>
      </c>
      <c r="F30" s="3" t="s">
        <v>113</v>
      </c>
    </row>
    <row r="31" spans="1:9" ht="15.75" customHeight="1" x14ac:dyDescent="0.3">
      <c r="A31" s="3">
        <v>30</v>
      </c>
      <c r="B31" s="3" t="s">
        <v>39</v>
      </c>
      <c r="C31" s="3" t="s">
        <v>110</v>
      </c>
      <c r="D31" s="3">
        <v>90</v>
      </c>
      <c r="E31" s="3">
        <v>340</v>
      </c>
      <c r="F31" s="3" t="s">
        <v>9</v>
      </c>
    </row>
    <row r="32" spans="1:9" ht="15.75" customHeight="1" x14ac:dyDescent="0.3">
      <c r="A32" s="3">
        <v>31</v>
      </c>
      <c r="B32" s="3" t="s">
        <v>40</v>
      </c>
      <c r="C32" s="3" t="s">
        <v>111</v>
      </c>
      <c r="D32" s="3">
        <v>206</v>
      </c>
      <c r="E32" s="3">
        <v>137</v>
      </c>
      <c r="F32" s="3" t="s">
        <v>116</v>
      </c>
    </row>
    <row r="33" spans="1:6" ht="15.75" customHeight="1" x14ac:dyDescent="0.3">
      <c r="A33" s="3">
        <v>32</v>
      </c>
      <c r="B33" s="3" t="s">
        <v>41</v>
      </c>
      <c r="C33" s="3" t="s">
        <v>111</v>
      </c>
      <c r="D33" s="3">
        <v>64</v>
      </c>
      <c r="E33" s="3">
        <v>357</v>
      </c>
      <c r="F33" s="3" t="s">
        <v>9</v>
      </c>
    </row>
    <row r="34" spans="1:6" ht="15.75" customHeight="1" x14ac:dyDescent="0.3">
      <c r="A34" s="3">
        <v>33</v>
      </c>
      <c r="B34" s="3" t="s">
        <v>42</v>
      </c>
      <c r="C34" s="3" t="s">
        <v>110</v>
      </c>
      <c r="D34" s="3">
        <v>862</v>
      </c>
      <c r="E34" s="3">
        <v>482</v>
      </c>
      <c r="F34" s="3" t="s">
        <v>9</v>
      </c>
    </row>
    <row r="35" spans="1:6" ht="15.75" customHeight="1" x14ac:dyDescent="0.3">
      <c r="A35" s="3">
        <v>34</v>
      </c>
      <c r="B35" s="3" t="s">
        <v>43</v>
      </c>
      <c r="C35" s="3" t="s">
        <v>112</v>
      </c>
      <c r="D35" s="3">
        <v>114</v>
      </c>
      <c r="E35" s="3">
        <v>240</v>
      </c>
      <c r="F35" s="3" t="s">
        <v>9</v>
      </c>
    </row>
    <row r="36" spans="1:6" ht="15.75" customHeight="1" x14ac:dyDescent="0.3">
      <c r="A36" s="3">
        <v>35</v>
      </c>
      <c r="B36" s="3" t="s">
        <v>44</v>
      </c>
      <c r="C36" s="3" t="s">
        <v>112</v>
      </c>
      <c r="D36" s="3">
        <v>906</v>
      </c>
      <c r="E36" s="3">
        <v>199</v>
      </c>
      <c r="F36" s="3" t="s">
        <v>113</v>
      </c>
    </row>
    <row r="37" spans="1:6" ht="15.75" customHeight="1" x14ac:dyDescent="0.3">
      <c r="A37" s="3">
        <v>36</v>
      </c>
      <c r="B37" s="3" t="s">
        <v>45</v>
      </c>
      <c r="C37" s="3" t="s">
        <v>111</v>
      </c>
      <c r="D37" s="3">
        <v>888</v>
      </c>
      <c r="E37" s="3">
        <v>234</v>
      </c>
      <c r="F37" s="3" t="s">
        <v>113</v>
      </c>
    </row>
    <row r="38" spans="1:6" ht="15.75" customHeight="1" x14ac:dyDescent="0.3">
      <c r="A38" s="3">
        <v>37</v>
      </c>
      <c r="B38" s="3" t="s">
        <v>46</v>
      </c>
      <c r="C38" s="3" t="s">
        <v>110</v>
      </c>
      <c r="D38" s="3">
        <v>570</v>
      </c>
      <c r="E38" s="3">
        <v>394</v>
      </c>
      <c r="F38" s="3" t="s">
        <v>9</v>
      </c>
    </row>
    <row r="39" spans="1:6" ht="15.75" customHeight="1" x14ac:dyDescent="0.3">
      <c r="A39" s="3">
        <v>38</v>
      </c>
      <c r="B39" s="3" t="s">
        <v>47</v>
      </c>
      <c r="C39" s="3" t="s">
        <v>111</v>
      </c>
      <c r="D39" s="3">
        <v>393</v>
      </c>
      <c r="E39" s="3">
        <v>386</v>
      </c>
      <c r="F39" s="3" t="s">
        <v>113</v>
      </c>
    </row>
    <row r="40" spans="1:6" ht="15.75" customHeight="1" x14ac:dyDescent="0.3">
      <c r="A40" s="3">
        <v>39</v>
      </c>
      <c r="B40" s="3" t="s">
        <v>48</v>
      </c>
      <c r="C40" s="3" t="s">
        <v>111</v>
      </c>
      <c r="D40" s="3">
        <v>178</v>
      </c>
      <c r="E40" s="3">
        <v>292</v>
      </c>
      <c r="F40" s="3" t="s">
        <v>115</v>
      </c>
    </row>
    <row r="41" spans="1:6" ht="15.75" customHeight="1" x14ac:dyDescent="0.3">
      <c r="A41" s="3">
        <v>40</v>
      </c>
      <c r="B41" s="3" t="s">
        <v>49</v>
      </c>
      <c r="C41" s="3" t="s">
        <v>8</v>
      </c>
      <c r="D41" s="3">
        <v>697</v>
      </c>
      <c r="E41" s="3">
        <v>455</v>
      </c>
      <c r="F41" s="3" t="s">
        <v>115</v>
      </c>
    </row>
    <row r="42" spans="1:6" ht="15.75" customHeight="1" x14ac:dyDescent="0.3">
      <c r="A42" s="3">
        <v>41</v>
      </c>
      <c r="B42" s="3" t="s">
        <v>50</v>
      </c>
      <c r="C42" s="3" t="s">
        <v>8</v>
      </c>
      <c r="D42" s="3">
        <v>521</v>
      </c>
      <c r="E42" s="3">
        <v>130</v>
      </c>
      <c r="F42" s="3" t="s">
        <v>113</v>
      </c>
    </row>
    <row r="43" spans="1:6" ht="15.75" customHeight="1" x14ac:dyDescent="0.3">
      <c r="A43" s="3">
        <v>42</v>
      </c>
      <c r="B43" s="3" t="s">
        <v>51</v>
      </c>
      <c r="C43" s="3" t="s">
        <v>8</v>
      </c>
      <c r="D43" s="3">
        <v>112</v>
      </c>
      <c r="E43" s="3">
        <v>125</v>
      </c>
      <c r="F43" s="3" t="s">
        <v>113</v>
      </c>
    </row>
    <row r="44" spans="1:6" ht="15.75" customHeight="1" x14ac:dyDescent="0.3">
      <c r="A44" s="3">
        <v>43</v>
      </c>
      <c r="B44" s="3" t="s">
        <v>52</v>
      </c>
      <c r="C44" s="3" t="s">
        <v>112</v>
      </c>
      <c r="D44" s="3">
        <v>188</v>
      </c>
      <c r="E44" s="3">
        <v>470</v>
      </c>
      <c r="F44" s="3" t="s">
        <v>9</v>
      </c>
    </row>
    <row r="45" spans="1:6" ht="15.75" customHeight="1" x14ac:dyDescent="0.3">
      <c r="A45" s="3">
        <v>44</v>
      </c>
      <c r="B45" s="3" t="s">
        <v>53</v>
      </c>
      <c r="C45" s="3" t="s">
        <v>110</v>
      </c>
      <c r="D45" s="3">
        <v>548</v>
      </c>
      <c r="E45" s="3">
        <v>242</v>
      </c>
      <c r="F45" s="3" t="s">
        <v>116</v>
      </c>
    </row>
    <row r="46" spans="1:6" ht="15.75" customHeight="1" x14ac:dyDescent="0.3">
      <c r="A46" s="3">
        <v>45</v>
      </c>
      <c r="B46" s="3" t="s">
        <v>54</v>
      </c>
      <c r="C46" s="3" t="s">
        <v>110</v>
      </c>
      <c r="D46" s="3">
        <v>642</v>
      </c>
      <c r="E46" s="3">
        <v>268</v>
      </c>
      <c r="F46" s="3" t="s">
        <v>113</v>
      </c>
    </row>
    <row r="47" spans="1:6" ht="15.75" customHeight="1" x14ac:dyDescent="0.3">
      <c r="A47" s="3">
        <v>46</v>
      </c>
      <c r="B47" s="3" t="s">
        <v>55</v>
      </c>
      <c r="C47" s="3" t="s">
        <v>110</v>
      </c>
      <c r="D47" s="3">
        <v>441</v>
      </c>
      <c r="E47" s="3">
        <v>368</v>
      </c>
      <c r="F47" s="3" t="s">
        <v>115</v>
      </c>
    </row>
    <row r="48" spans="1:6" ht="15.75" customHeight="1" x14ac:dyDescent="0.3">
      <c r="A48" s="3">
        <v>47</v>
      </c>
      <c r="B48" s="3" t="s">
        <v>56</v>
      </c>
      <c r="C48" s="3" t="s">
        <v>110</v>
      </c>
      <c r="D48" s="3">
        <v>724</v>
      </c>
      <c r="E48" s="3">
        <v>207</v>
      </c>
      <c r="F48" s="3" t="s">
        <v>9</v>
      </c>
    </row>
    <row r="49" spans="1:6" ht="15.75" customHeight="1" x14ac:dyDescent="0.3">
      <c r="A49" s="3">
        <v>48</v>
      </c>
      <c r="B49" s="3" t="s">
        <v>57</v>
      </c>
      <c r="C49" s="3" t="s">
        <v>8</v>
      </c>
      <c r="D49" s="3">
        <v>468</v>
      </c>
      <c r="E49" s="3">
        <v>465</v>
      </c>
      <c r="F49" s="3" t="s">
        <v>113</v>
      </c>
    </row>
    <row r="50" spans="1:6" ht="15.75" customHeight="1" x14ac:dyDescent="0.3">
      <c r="A50" s="3">
        <v>49</v>
      </c>
      <c r="B50" s="3" t="s">
        <v>58</v>
      </c>
      <c r="C50" s="3" t="s">
        <v>112</v>
      </c>
      <c r="D50" s="3">
        <v>338</v>
      </c>
      <c r="E50" s="3">
        <v>420</v>
      </c>
      <c r="F50" s="3" t="s">
        <v>115</v>
      </c>
    </row>
    <row r="51" spans="1:6" ht="15.75" customHeight="1" x14ac:dyDescent="0.3">
      <c r="A51" s="3">
        <v>50</v>
      </c>
      <c r="B51" s="3" t="s">
        <v>59</v>
      </c>
      <c r="C51" s="3" t="s">
        <v>112</v>
      </c>
      <c r="D51" s="3">
        <v>428</v>
      </c>
      <c r="E51" s="3">
        <v>146</v>
      </c>
      <c r="F51" s="3" t="s">
        <v>115</v>
      </c>
    </row>
    <row r="52" spans="1:6" ht="15.75" customHeight="1" x14ac:dyDescent="0.3">
      <c r="A52" s="3">
        <v>51</v>
      </c>
      <c r="B52" s="3" t="s">
        <v>60</v>
      </c>
      <c r="C52" s="3" t="s">
        <v>8</v>
      </c>
      <c r="D52" s="3">
        <v>822</v>
      </c>
      <c r="E52" s="3">
        <v>327</v>
      </c>
      <c r="F52" s="3" t="s">
        <v>116</v>
      </c>
    </row>
    <row r="53" spans="1:6" ht="15.75" customHeight="1" x14ac:dyDescent="0.3">
      <c r="A53" s="3">
        <v>52</v>
      </c>
      <c r="B53" s="3" t="s">
        <v>61</v>
      </c>
      <c r="C53" s="3" t="s">
        <v>112</v>
      </c>
      <c r="D53" s="3">
        <v>539</v>
      </c>
      <c r="E53" s="3">
        <v>174</v>
      </c>
      <c r="F53" s="3" t="s">
        <v>9</v>
      </c>
    </row>
    <row r="54" spans="1:6" ht="15.75" customHeight="1" x14ac:dyDescent="0.3">
      <c r="A54" s="3">
        <v>53</v>
      </c>
      <c r="B54" s="3" t="s">
        <v>62</v>
      </c>
      <c r="C54" s="3" t="s">
        <v>8</v>
      </c>
      <c r="D54" s="3">
        <v>280</v>
      </c>
      <c r="E54" s="3">
        <v>234</v>
      </c>
      <c r="F54" s="3" t="s">
        <v>9</v>
      </c>
    </row>
    <row r="55" spans="1:6" ht="15.75" customHeight="1" x14ac:dyDescent="0.3">
      <c r="A55" s="3">
        <v>54</v>
      </c>
      <c r="B55" s="3" t="s">
        <v>63</v>
      </c>
      <c r="C55" s="3" t="s">
        <v>110</v>
      </c>
      <c r="D55" s="3">
        <v>90</v>
      </c>
      <c r="E55" s="3">
        <v>316</v>
      </c>
      <c r="F55" s="3" t="s">
        <v>116</v>
      </c>
    </row>
    <row r="56" spans="1:6" ht="15.75" customHeight="1" x14ac:dyDescent="0.3">
      <c r="A56" s="3">
        <v>55</v>
      </c>
      <c r="B56" s="3" t="s">
        <v>64</v>
      </c>
      <c r="C56" s="3" t="s">
        <v>8</v>
      </c>
      <c r="D56" s="3">
        <v>77</v>
      </c>
      <c r="E56" s="3">
        <v>243</v>
      </c>
      <c r="F56" s="3" t="s">
        <v>116</v>
      </c>
    </row>
    <row r="57" spans="1:6" ht="15.75" customHeight="1" x14ac:dyDescent="0.3">
      <c r="A57" s="3">
        <v>56</v>
      </c>
      <c r="B57" s="3" t="s">
        <v>65</v>
      </c>
      <c r="C57" s="3" t="s">
        <v>110</v>
      </c>
      <c r="D57" s="3">
        <v>184</v>
      </c>
      <c r="E57" s="3">
        <v>181</v>
      </c>
      <c r="F57" s="3" t="s">
        <v>9</v>
      </c>
    </row>
    <row r="58" spans="1:6" ht="15.75" customHeight="1" x14ac:dyDescent="0.3">
      <c r="A58" s="3">
        <v>57</v>
      </c>
      <c r="B58" s="3" t="s">
        <v>66</v>
      </c>
      <c r="C58" s="3" t="s">
        <v>110</v>
      </c>
      <c r="D58" s="3">
        <v>250</v>
      </c>
      <c r="E58" s="3">
        <v>161</v>
      </c>
      <c r="F58" s="3" t="s">
        <v>9</v>
      </c>
    </row>
    <row r="59" spans="1:6" ht="15.75" customHeight="1" x14ac:dyDescent="0.3">
      <c r="A59" s="3">
        <v>58</v>
      </c>
      <c r="B59" s="3" t="s">
        <v>67</v>
      </c>
      <c r="C59" s="3" t="s">
        <v>111</v>
      </c>
      <c r="D59" s="3">
        <v>889</v>
      </c>
      <c r="E59" s="3">
        <v>472</v>
      </c>
      <c r="F59" s="3" t="s">
        <v>113</v>
      </c>
    </row>
    <row r="60" spans="1:6" ht="15.75" customHeight="1" x14ac:dyDescent="0.3">
      <c r="A60" s="3">
        <v>59</v>
      </c>
      <c r="B60" s="3" t="s">
        <v>68</v>
      </c>
      <c r="C60" s="3" t="s">
        <v>8</v>
      </c>
      <c r="D60" s="3">
        <v>829</v>
      </c>
      <c r="E60" s="3">
        <v>324</v>
      </c>
      <c r="F60" s="3" t="s">
        <v>113</v>
      </c>
    </row>
    <row r="61" spans="1:6" ht="15.75" customHeight="1" x14ac:dyDescent="0.3">
      <c r="A61" s="3">
        <v>60</v>
      </c>
      <c r="B61" s="3" t="s">
        <v>69</v>
      </c>
      <c r="C61" s="3" t="s">
        <v>111</v>
      </c>
      <c r="D61" s="3">
        <v>979</v>
      </c>
      <c r="E61" s="3">
        <v>383</v>
      </c>
      <c r="F61" s="3" t="s">
        <v>116</v>
      </c>
    </row>
    <row r="62" spans="1:6" ht="15.75" customHeight="1" x14ac:dyDescent="0.3">
      <c r="A62" s="3">
        <v>61</v>
      </c>
      <c r="B62" s="3" t="s">
        <v>70</v>
      </c>
      <c r="C62" s="3" t="s">
        <v>8</v>
      </c>
      <c r="D62" s="3">
        <v>82</v>
      </c>
      <c r="E62" s="3">
        <v>169</v>
      </c>
      <c r="F62" s="3" t="s">
        <v>113</v>
      </c>
    </row>
    <row r="63" spans="1:6" ht="15.75" customHeight="1" x14ac:dyDescent="0.3">
      <c r="A63" s="3">
        <v>62</v>
      </c>
      <c r="B63" s="3" t="s">
        <v>71</v>
      </c>
      <c r="C63" s="3" t="s">
        <v>8</v>
      </c>
      <c r="D63" s="3">
        <v>97</v>
      </c>
      <c r="E63" s="3">
        <v>105</v>
      </c>
      <c r="F63" s="3" t="s">
        <v>115</v>
      </c>
    </row>
    <row r="64" spans="1:6" ht="15.75" customHeight="1" x14ac:dyDescent="0.3">
      <c r="A64" s="3">
        <v>63</v>
      </c>
      <c r="B64" s="3" t="s">
        <v>72</v>
      </c>
      <c r="C64" s="3" t="s">
        <v>111</v>
      </c>
      <c r="D64" s="3">
        <v>552</v>
      </c>
      <c r="E64" s="3">
        <v>481</v>
      </c>
      <c r="F64" s="3" t="s">
        <v>113</v>
      </c>
    </row>
    <row r="65" spans="1:6" ht="15.75" customHeight="1" x14ac:dyDescent="0.3">
      <c r="A65" s="3">
        <v>64</v>
      </c>
      <c r="B65" s="3" t="s">
        <v>73</v>
      </c>
      <c r="C65" s="3" t="s">
        <v>111</v>
      </c>
      <c r="D65" s="3">
        <v>456</v>
      </c>
      <c r="E65" s="3">
        <v>242</v>
      </c>
      <c r="F65" s="3" t="s">
        <v>113</v>
      </c>
    </row>
    <row r="66" spans="1:6" ht="15.75" customHeight="1" x14ac:dyDescent="0.3">
      <c r="A66" s="3">
        <v>65</v>
      </c>
      <c r="B66" s="3" t="s">
        <v>74</v>
      </c>
      <c r="C66" s="3" t="s">
        <v>8</v>
      </c>
      <c r="D66" s="3">
        <v>623</v>
      </c>
      <c r="E66" s="3">
        <v>189</v>
      </c>
      <c r="F66" s="3" t="s">
        <v>115</v>
      </c>
    </row>
    <row r="67" spans="1:6" ht="15.75" customHeight="1" x14ac:dyDescent="0.3">
      <c r="A67" s="3">
        <v>66</v>
      </c>
      <c r="B67" s="3" t="s">
        <v>75</v>
      </c>
      <c r="C67" s="3" t="s">
        <v>112</v>
      </c>
      <c r="D67" s="3">
        <v>777</v>
      </c>
      <c r="E67" s="3">
        <v>122</v>
      </c>
      <c r="F67" s="3" t="s">
        <v>116</v>
      </c>
    </row>
    <row r="68" spans="1:6" ht="15.75" customHeight="1" x14ac:dyDescent="0.3">
      <c r="A68" s="3">
        <v>67</v>
      </c>
      <c r="B68" s="3" t="s">
        <v>76</v>
      </c>
      <c r="C68" s="3" t="s">
        <v>110</v>
      </c>
      <c r="D68" s="3">
        <v>854</v>
      </c>
      <c r="E68" s="3">
        <v>327</v>
      </c>
      <c r="F68" s="3" t="s">
        <v>115</v>
      </c>
    </row>
    <row r="69" spans="1:6" ht="15.75" customHeight="1" x14ac:dyDescent="0.3">
      <c r="A69" s="3">
        <v>68</v>
      </c>
      <c r="B69" s="3" t="s">
        <v>77</v>
      </c>
      <c r="C69" s="3" t="s">
        <v>111</v>
      </c>
      <c r="D69" s="3">
        <v>148</v>
      </c>
      <c r="E69" s="3">
        <v>451</v>
      </c>
      <c r="F69" s="3" t="s">
        <v>113</v>
      </c>
    </row>
    <row r="70" spans="1:6" ht="15.75" customHeight="1" x14ac:dyDescent="0.3">
      <c r="A70" s="3">
        <v>69</v>
      </c>
      <c r="B70" s="3" t="s">
        <v>78</v>
      </c>
      <c r="C70" s="3" t="s">
        <v>110</v>
      </c>
      <c r="D70" s="3">
        <v>733</v>
      </c>
      <c r="E70" s="3">
        <v>61</v>
      </c>
      <c r="F70" s="3" t="s">
        <v>116</v>
      </c>
    </row>
    <row r="71" spans="1:6" ht="15.75" customHeight="1" x14ac:dyDescent="0.3">
      <c r="A71" s="3">
        <v>70</v>
      </c>
      <c r="B71" s="3" t="s">
        <v>79</v>
      </c>
      <c r="C71" s="3" t="s">
        <v>112</v>
      </c>
      <c r="D71" s="3">
        <v>921</v>
      </c>
      <c r="E71" s="3">
        <v>277</v>
      </c>
      <c r="F71" s="3" t="s">
        <v>113</v>
      </c>
    </row>
    <row r="72" spans="1:6" ht="15.75" customHeight="1" x14ac:dyDescent="0.3">
      <c r="A72" s="3">
        <v>71</v>
      </c>
      <c r="B72" s="3" t="s">
        <v>80</v>
      </c>
      <c r="C72" s="3" t="s">
        <v>112</v>
      </c>
      <c r="D72" s="3">
        <v>775</v>
      </c>
      <c r="E72" s="3">
        <v>304</v>
      </c>
      <c r="F72" s="3" t="s">
        <v>115</v>
      </c>
    </row>
    <row r="73" spans="1:6" ht="15.75" customHeight="1" x14ac:dyDescent="0.3">
      <c r="A73" s="3">
        <v>72</v>
      </c>
      <c r="B73" s="3" t="s">
        <v>81</v>
      </c>
      <c r="C73" s="3" t="s">
        <v>112</v>
      </c>
      <c r="D73" s="3">
        <v>596</v>
      </c>
      <c r="E73" s="3">
        <v>395</v>
      </c>
      <c r="F73" s="3" t="s">
        <v>115</v>
      </c>
    </row>
    <row r="74" spans="1:6" ht="15.75" customHeight="1" x14ac:dyDescent="0.3">
      <c r="A74" s="3">
        <v>73</v>
      </c>
      <c r="B74" s="3" t="s">
        <v>82</v>
      </c>
      <c r="C74" s="3" t="s">
        <v>111</v>
      </c>
      <c r="D74" s="3">
        <v>788</v>
      </c>
      <c r="E74" s="3">
        <v>396</v>
      </c>
      <c r="F74" s="3" t="s">
        <v>113</v>
      </c>
    </row>
    <row r="75" spans="1:6" ht="15.75" customHeight="1" x14ac:dyDescent="0.3">
      <c r="A75" s="3">
        <v>74</v>
      </c>
      <c r="B75" s="3" t="s">
        <v>83</v>
      </c>
      <c r="C75" s="3" t="s">
        <v>112</v>
      </c>
      <c r="D75" s="3">
        <v>662</v>
      </c>
      <c r="E75" s="3">
        <v>122</v>
      </c>
      <c r="F75" s="3" t="s">
        <v>9</v>
      </c>
    </row>
    <row r="76" spans="1:6" ht="15.75" customHeight="1" x14ac:dyDescent="0.3">
      <c r="A76" s="3">
        <v>75</v>
      </c>
      <c r="B76" s="3" t="s">
        <v>84</v>
      </c>
      <c r="C76" s="3" t="s">
        <v>111</v>
      </c>
      <c r="D76" s="3">
        <v>992</v>
      </c>
      <c r="E76" s="3">
        <v>110</v>
      </c>
      <c r="F76" s="3" t="s">
        <v>9</v>
      </c>
    </row>
    <row r="77" spans="1:6" ht="15.75" customHeight="1" x14ac:dyDescent="0.3">
      <c r="A77" s="3">
        <v>76</v>
      </c>
      <c r="B77" s="3" t="s">
        <v>85</v>
      </c>
      <c r="C77" s="3" t="s">
        <v>112</v>
      </c>
      <c r="D77" s="3">
        <v>511</v>
      </c>
      <c r="E77" s="3">
        <v>122</v>
      </c>
      <c r="F77" s="3" t="s">
        <v>115</v>
      </c>
    </row>
    <row r="78" spans="1:6" ht="15.75" customHeight="1" x14ac:dyDescent="0.3">
      <c r="A78" s="3">
        <v>77</v>
      </c>
      <c r="B78" s="3" t="s">
        <v>86</v>
      </c>
      <c r="C78" s="3" t="s">
        <v>110</v>
      </c>
      <c r="D78" s="3">
        <v>692</v>
      </c>
      <c r="E78" s="3">
        <v>449</v>
      </c>
      <c r="F78" s="3" t="s">
        <v>115</v>
      </c>
    </row>
    <row r="79" spans="1:6" ht="15.75" customHeight="1" x14ac:dyDescent="0.3">
      <c r="A79" s="3">
        <v>78</v>
      </c>
      <c r="B79" s="3" t="s">
        <v>87</v>
      </c>
      <c r="C79" s="3" t="s">
        <v>110</v>
      </c>
      <c r="D79" s="3">
        <v>818</v>
      </c>
      <c r="E79" s="3">
        <v>90</v>
      </c>
      <c r="F79" s="3" t="s">
        <v>9</v>
      </c>
    </row>
    <row r="80" spans="1:6" ht="15.75" customHeight="1" x14ac:dyDescent="0.3">
      <c r="A80" s="3">
        <v>79</v>
      </c>
      <c r="B80" s="3" t="s">
        <v>88</v>
      </c>
      <c r="C80" s="3" t="s">
        <v>8</v>
      </c>
      <c r="D80" s="3">
        <v>54</v>
      </c>
      <c r="E80" s="3">
        <v>196</v>
      </c>
      <c r="F80" s="3" t="s">
        <v>9</v>
      </c>
    </row>
    <row r="81" spans="1:6" ht="15.75" customHeight="1" x14ac:dyDescent="0.3">
      <c r="A81" s="3">
        <v>80</v>
      </c>
      <c r="B81" s="3" t="s">
        <v>89</v>
      </c>
      <c r="C81" s="3" t="s">
        <v>110</v>
      </c>
      <c r="D81" s="3">
        <v>267</v>
      </c>
      <c r="E81" s="3">
        <v>122</v>
      </c>
      <c r="F81" s="3" t="s">
        <v>113</v>
      </c>
    </row>
    <row r="82" spans="1:6" ht="15.75" customHeight="1" x14ac:dyDescent="0.3">
      <c r="A82" s="3">
        <v>81</v>
      </c>
      <c r="B82" s="3" t="s">
        <v>90</v>
      </c>
      <c r="C82" s="3" t="s">
        <v>8</v>
      </c>
      <c r="D82" s="3">
        <v>552</v>
      </c>
      <c r="E82" s="3">
        <v>11</v>
      </c>
      <c r="F82" s="3" t="s">
        <v>113</v>
      </c>
    </row>
    <row r="83" spans="1:6" ht="15.75" customHeight="1" x14ac:dyDescent="0.3">
      <c r="A83" s="3">
        <v>82</v>
      </c>
      <c r="B83" s="3" t="s">
        <v>91</v>
      </c>
      <c r="C83" s="3" t="s">
        <v>110</v>
      </c>
      <c r="D83" s="3">
        <v>816</v>
      </c>
      <c r="E83" s="3">
        <v>139</v>
      </c>
      <c r="F83" s="3" t="s">
        <v>9</v>
      </c>
    </row>
    <row r="84" spans="1:6" ht="15.75" customHeight="1" x14ac:dyDescent="0.3">
      <c r="A84" s="3">
        <v>83</v>
      </c>
      <c r="B84" s="3" t="s">
        <v>92</v>
      </c>
      <c r="C84" s="3" t="s">
        <v>111</v>
      </c>
      <c r="D84" s="3">
        <v>447</v>
      </c>
      <c r="E84" s="3">
        <v>229</v>
      </c>
      <c r="F84" s="3" t="s">
        <v>113</v>
      </c>
    </row>
    <row r="85" spans="1:6" ht="15.75" customHeight="1" x14ac:dyDescent="0.3">
      <c r="A85" s="3">
        <v>84</v>
      </c>
      <c r="B85" s="3" t="s">
        <v>93</v>
      </c>
      <c r="C85" s="3" t="s">
        <v>110</v>
      </c>
      <c r="D85" s="3">
        <v>920</v>
      </c>
      <c r="E85" s="3">
        <v>63</v>
      </c>
      <c r="F85" s="3" t="s">
        <v>113</v>
      </c>
    </row>
    <row r="86" spans="1:6" ht="15.75" customHeight="1" x14ac:dyDescent="0.3">
      <c r="A86" s="3">
        <v>85</v>
      </c>
      <c r="B86" s="3" t="s">
        <v>94</v>
      </c>
      <c r="C86" s="3" t="s">
        <v>8</v>
      </c>
      <c r="D86" s="3">
        <v>844</v>
      </c>
      <c r="E86" s="3">
        <v>352</v>
      </c>
      <c r="F86" s="3" t="s">
        <v>116</v>
      </c>
    </row>
    <row r="87" spans="1:6" ht="15.75" customHeight="1" x14ac:dyDescent="0.3">
      <c r="A87" s="3">
        <v>86</v>
      </c>
      <c r="B87" s="3" t="s">
        <v>95</v>
      </c>
      <c r="C87" s="3" t="s">
        <v>8</v>
      </c>
      <c r="D87" s="3">
        <v>442</v>
      </c>
      <c r="E87" s="3">
        <v>494</v>
      </c>
      <c r="F87" s="3" t="s">
        <v>113</v>
      </c>
    </row>
    <row r="88" spans="1:6" ht="15.75" customHeight="1" x14ac:dyDescent="0.3">
      <c r="A88" s="3">
        <v>87</v>
      </c>
      <c r="B88" s="3" t="s">
        <v>96</v>
      </c>
      <c r="C88" s="3" t="s">
        <v>112</v>
      </c>
      <c r="D88" s="3">
        <v>256</v>
      </c>
      <c r="E88" s="3">
        <v>233</v>
      </c>
      <c r="F88" s="3" t="s">
        <v>115</v>
      </c>
    </row>
    <row r="89" spans="1:6" ht="15.75" customHeight="1" x14ac:dyDescent="0.3">
      <c r="A89" s="3">
        <v>88</v>
      </c>
      <c r="B89" s="3" t="s">
        <v>97</v>
      </c>
      <c r="C89" s="3" t="s">
        <v>111</v>
      </c>
      <c r="D89" s="3">
        <v>64</v>
      </c>
      <c r="E89" s="3">
        <v>234</v>
      </c>
      <c r="F89" s="3" t="s">
        <v>113</v>
      </c>
    </row>
    <row r="90" spans="1:6" ht="15.75" customHeight="1" x14ac:dyDescent="0.3">
      <c r="A90" s="3">
        <v>89</v>
      </c>
      <c r="B90" s="3" t="s">
        <v>98</v>
      </c>
      <c r="C90" s="3" t="s">
        <v>110</v>
      </c>
      <c r="D90" s="3">
        <v>907</v>
      </c>
      <c r="E90" s="3">
        <v>394</v>
      </c>
      <c r="F90" s="3" t="s">
        <v>113</v>
      </c>
    </row>
    <row r="91" spans="1:6" ht="15.75" customHeight="1" x14ac:dyDescent="0.3">
      <c r="A91" s="3">
        <v>90</v>
      </c>
      <c r="B91" s="3" t="s">
        <v>99</v>
      </c>
      <c r="C91" s="3" t="s">
        <v>112</v>
      </c>
      <c r="D91" s="3">
        <v>603</v>
      </c>
      <c r="E91" s="3">
        <v>412</v>
      </c>
      <c r="F91" s="3" t="s">
        <v>9</v>
      </c>
    </row>
    <row r="92" spans="1:6" ht="15.75" customHeight="1" x14ac:dyDescent="0.3">
      <c r="A92" s="3">
        <v>91</v>
      </c>
      <c r="B92" s="3" t="s">
        <v>100</v>
      </c>
      <c r="C92" s="3" t="s">
        <v>110</v>
      </c>
      <c r="D92" s="3">
        <v>941</v>
      </c>
      <c r="E92" s="3">
        <v>135</v>
      </c>
      <c r="F92" s="3" t="s">
        <v>115</v>
      </c>
    </row>
    <row r="93" spans="1:6" ht="15.75" customHeight="1" x14ac:dyDescent="0.3">
      <c r="A93" s="3">
        <v>92</v>
      </c>
      <c r="B93" s="3" t="s">
        <v>101</v>
      </c>
      <c r="C93" s="3" t="s">
        <v>110</v>
      </c>
      <c r="D93" s="3">
        <v>510</v>
      </c>
      <c r="E93" s="3">
        <v>139</v>
      </c>
      <c r="F93" s="3" t="s">
        <v>113</v>
      </c>
    </row>
    <row r="94" spans="1:6" ht="15.75" customHeight="1" x14ac:dyDescent="0.3">
      <c r="A94" s="3">
        <v>93</v>
      </c>
      <c r="B94" s="3" t="s">
        <v>102</v>
      </c>
      <c r="C94" s="3" t="s">
        <v>112</v>
      </c>
      <c r="D94" s="3">
        <v>740</v>
      </c>
      <c r="E94" s="3">
        <v>62</v>
      </c>
      <c r="F94" s="3" t="s">
        <v>113</v>
      </c>
    </row>
    <row r="95" spans="1:6" ht="15.75" customHeight="1" x14ac:dyDescent="0.3">
      <c r="A95" s="3">
        <v>94</v>
      </c>
      <c r="B95" s="3" t="s">
        <v>103</v>
      </c>
      <c r="C95" s="3" t="s">
        <v>112</v>
      </c>
      <c r="D95" s="3">
        <v>624</v>
      </c>
      <c r="E95" s="3">
        <v>181</v>
      </c>
      <c r="F95" s="3" t="s">
        <v>116</v>
      </c>
    </row>
    <row r="96" spans="1:6" ht="15.75" customHeight="1" x14ac:dyDescent="0.3">
      <c r="A96" s="3">
        <v>95</v>
      </c>
      <c r="B96" s="3" t="s">
        <v>104</v>
      </c>
      <c r="C96" s="3" t="s">
        <v>112</v>
      </c>
      <c r="D96" s="3">
        <v>913</v>
      </c>
      <c r="E96" s="3">
        <v>227</v>
      </c>
      <c r="F96" s="3" t="s">
        <v>113</v>
      </c>
    </row>
    <row r="97" spans="1:6" ht="15.75" customHeight="1" x14ac:dyDescent="0.3">
      <c r="A97" s="3">
        <v>96</v>
      </c>
      <c r="B97" s="3" t="s">
        <v>105</v>
      </c>
      <c r="C97" s="3" t="s">
        <v>112</v>
      </c>
      <c r="D97" s="3">
        <v>792</v>
      </c>
      <c r="E97" s="3">
        <v>169</v>
      </c>
      <c r="F97" s="3" t="s">
        <v>113</v>
      </c>
    </row>
    <row r="98" spans="1:6" ht="15.75" customHeight="1" x14ac:dyDescent="0.3">
      <c r="A98" s="3">
        <v>97</v>
      </c>
      <c r="B98" s="3" t="s">
        <v>106</v>
      </c>
      <c r="C98" s="3" t="s">
        <v>112</v>
      </c>
      <c r="D98" s="3">
        <v>290</v>
      </c>
      <c r="E98" s="3">
        <v>207</v>
      </c>
      <c r="F98" s="3" t="s">
        <v>116</v>
      </c>
    </row>
    <row r="99" spans="1:6" ht="15.75" customHeight="1" x14ac:dyDescent="0.3">
      <c r="A99" s="3">
        <v>98</v>
      </c>
      <c r="B99" s="3" t="s">
        <v>107</v>
      </c>
      <c r="C99" s="3" t="s">
        <v>110</v>
      </c>
      <c r="D99" s="3">
        <v>613</v>
      </c>
      <c r="E99" s="3">
        <v>425</v>
      </c>
      <c r="F99" s="3" t="s">
        <v>9</v>
      </c>
    </row>
    <row r="100" spans="1:6" ht="15.75" customHeight="1" x14ac:dyDescent="0.3">
      <c r="A100" s="3">
        <v>99</v>
      </c>
      <c r="B100" s="3" t="s">
        <v>108</v>
      </c>
      <c r="C100" s="3" t="s">
        <v>112</v>
      </c>
      <c r="D100" s="3">
        <v>145</v>
      </c>
      <c r="E100" s="3">
        <v>256</v>
      </c>
      <c r="F100" s="3" t="s">
        <v>113</v>
      </c>
    </row>
    <row r="101" spans="1:6" ht="15.75" customHeight="1" x14ac:dyDescent="0.3">
      <c r="A101" s="3">
        <v>100</v>
      </c>
      <c r="B101" s="3" t="s">
        <v>109</v>
      </c>
      <c r="C101" s="3" t="s">
        <v>111</v>
      </c>
      <c r="D101" s="3">
        <v>949</v>
      </c>
      <c r="E101" s="3">
        <v>333</v>
      </c>
      <c r="F101" s="3" t="s">
        <v>116</v>
      </c>
    </row>
    <row r="102" spans="1:6" ht="15.75" customHeight="1" x14ac:dyDescent="0.3"/>
    <row r="103" spans="1:6" ht="15.75" customHeight="1" x14ac:dyDescent="0.3"/>
    <row r="104" spans="1:6" ht="15.75" customHeight="1" x14ac:dyDescent="0.3"/>
    <row r="105" spans="1:6" ht="15.75" customHeight="1" x14ac:dyDescent="0.3"/>
    <row r="106" spans="1:6" ht="15.75" customHeight="1" x14ac:dyDescent="0.3"/>
    <row r="107" spans="1:6" ht="15.75" customHeight="1" x14ac:dyDescent="0.3"/>
    <row r="108" spans="1:6" ht="15.75" customHeight="1" x14ac:dyDescent="0.3"/>
    <row r="109" spans="1:6" ht="15.75" customHeight="1" x14ac:dyDescent="0.3"/>
    <row r="110" spans="1:6" ht="15.75" customHeight="1" x14ac:dyDescent="0.3"/>
    <row r="111" spans="1:6" ht="15.75" customHeight="1" x14ac:dyDescent="0.3"/>
    <row r="112" spans="1:6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Tabbu</dc:creator>
  <cp:lastModifiedBy>Tabbu</cp:lastModifiedBy>
  <dcterms:created xsi:type="dcterms:W3CDTF">2026-02-07T13:09:51Z</dcterms:created>
  <dcterms:modified xsi:type="dcterms:W3CDTF">2026-02-07T13:09:51Z</dcterms:modified>
</cp:coreProperties>
</file>