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drawings/drawing2.xml" ContentType="application/vnd.openxmlformats-officedocument.drawing+xml"/>
  <Override PartName="/xl/timelines/timeline1.xml" ContentType="application/vnd.ms-excel.timelin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drawings/drawing4.xml" ContentType="application/vnd.openxmlformats-officedocument.drawing+xml"/>
  <Override PartName="/xl/slicers/slicer3.xml" ContentType="application/vnd.ms-excel.slicer+xml"/>
  <Override PartName="/xl/timelines/timeline2.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tables/table1.xml" ContentType="application/vnd.openxmlformats-officedocument.spreadsheetml.table+xml"/>
  <Override PartName="/xl/pivotTables/pivotTable9.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0.xml" ContentType="application/vnd.openxmlformats-officedocument.spreadsheetml.pivotTable+xml"/>
  <Override PartName="/xl/drawings/drawing6.xml" ContentType="application/vnd.openxmlformats-officedocument.drawing+xml"/>
  <Override PartName="/xl/timelines/timeline3.xml" ContentType="application/vnd.ms-excel.timeline+xml"/>
  <Override PartName="/xl/pivotTables/pivotTable11.xml" ContentType="application/vnd.openxmlformats-officedocument.spreadsheetml.pivotTable+xml"/>
  <Override PartName="/xl/drawings/drawing7.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2.xml" ContentType="application/vnd.openxmlformats-officedocument.spreadsheetml.pivotTable+xml"/>
  <Override PartName="/xl/drawings/drawing8.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9.xml" ContentType="application/vnd.openxmlformats-officedocument.drawing+xml"/>
  <Override PartName="/xl/slicers/slicer5.xml" ContentType="application/vnd.ms-excel.slicer+xml"/>
  <Override PartName="/xl/timelines/timeline4.xml" ContentType="application/vnd.ms-excel.timeline+xml"/>
  <Override PartName="/xl/drawings/drawing10.xml" ContentType="application/vnd.openxmlformats-officedocument.drawing+xml"/>
  <Override PartName="/xl/slicers/slicer6.xml" ContentType="application/vnd.ms-excel.slicer+xml"/>
  <Override PartName="/xl/timelines/timeline5.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Tabbu\Downloads\"/>
    </mc:Choice>
  </mc:AlternateContent>
  <bookViews>
    <workbookView xWindow="0" yWindow="0" windowWidth="23040" windowHeight="10524" firstSheet="5" activeTab="15"/>
  </bookViews>
  <sheets>
    <sheet name="Sheet3" sheetId="3" r:id="rId1"/>
    <sheet name="Sheet6" sheetId="6" r:id="rId2"/>
    <sheet name="Sheet7" sheetId="7" r:id="rId3"/>
    <sheet name="Sheet8" sheetId="8" r:id="rId4"/>
    <sheet name="Sheet9" sheetId="9" r:id="rId5"/>
    <sheet name="Sheet10" sheetId="10" r:id="rId6"/>
    <sheet name="Sheet11" sheetId="11" r:id="rId7"/>
    <sheet name="Sheet5" sheetId="28" r:id="rId8"/>
    <sheet name="Sheet2" sheetId="12" r:id="rId9"/>
    <sheet name="Sheet16" sheetId="22" r:id="rId10"/>
    <sheet name="Sheet4" sheetId="27" r:id="rId11"/>
    <sheet name="Sheet12" sheetId="29" r:id="rId12"/>
    <sheet name="Sheet13" sheetId="30" r:id="rId13"/>
    <sheet name="Sheet14" sheetId="31" r:id="rId14"/>
    <sheet name="sheet1" sheetId="1" r:id="rId15"/>
    <sheet name="Sheet15" sheetId="33" r:id="rId16"/>
  </sheets>
  <definedNames>
    <definedName name="NativeTimeline_Date">#N/A</definedName>
    <definedName name="NativeTimeline_Date1">#N/A</definedName>
    <definedName name="Slicer_Product">#N/A</definedName>
    <definedName name="Slicer_Region">#N/A</definedName>
    <definedName name="Slicer_Salesperson">#N/A</definedName>
  </definedNames>
  <calcPr calcId="152511"/>
  <pivotCaches>
    <pivotCache cacheId="4" r:id="rId17"/>
    <pivotCache cacheId="5" r:id="rId18"/>
  </pivotCaches>
  <extLst>
    <ext xmlns:x14="http://schemas.microsoft.com/office/spreadsheetml/2009/9/main" uri="{BBE1A952-AA13-448e-AADC-164F8A28A991}">
      <x14:slicerCaches>
        <x14:slicerCache r:id="rId19"/>
        <x14:slicerCache r:id="rId20"/>
        <x14:slicerCache r:id="rId2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2"/>
        <x15:timelineCacheRef r:id="rId23"/>
      </x15:timelineCacheRefs>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<sst xmlns="http://schemas.openxmlformats.org/spreadsheetml/2006/main" count="211" uniqueCount="41">
  <si>
    <t>Date</t>
  </si>
  <si>
    <t>Region</t>
  </si>
  <si>
    <t>Salesperson</t>
  </si>
  <si>
    <t>Product</t>
  </si>
  <si>
    <t>Units Sold</t>
  </si>
  <si>
    <t>Revenue</t>
  </si>
  <si>
    <t>Discount</t>
  </si>
  <si>
    <t>Profit</t>
  </si>
  <si>
    <t>East</t>
  </si>
  <si>
    <t>John Doe</t>
  </si>
  <si>
    <t>Laptop</t>
  </si>
  <si>
    <t>West</t>
  </si>
  <si>
    <t>Jane Smith</t>
  </si>
  <si>
    <t>Phone</t>
  </si>
  <si>
    <t>North</t>
  </si>
  <si>
    <t>Adam Lee</t>
  </si>
  <si>
    <t>Tablet</t>
  </si>
  <si>
    <t>South</t>
  </si>
  <si>
    <t>Emily Clark</t>
  </si>
  <si>
    <t>Monitor</t>
  </si>
  <si>
    <t>Row Labels</t>
  </si>
  <si>
    <t>Grand Total</t>
  </si>
  <si>
    <t>Sum of Revenue</t>
  </si>
  <si>
    <t>QUE.1 Create a Pivot table to summarize total revenue per region.which region is the highest total value</t>
  </si>
  <si>
    <t>QUE.2 Add a slicer for the Salesperson column .How many unique salesperson are in the dataset?</t>
  </si>
  <si>
    <t>QUE.3 Insert a time line for the date column.What is the total revenue for jan 2024?</t>
  </si>
  <si>
    <t>QUE.4 Create a pivot Chart for Revenue By Product generate the most revenue</t>
  </si>
  <si>
    <t>QUE.5 A using a pivot table find the saleperson with highest total profit.Who is it</t>
  </si>
  <si>
    <t>Sum of Profit</t>
  </si>
  <si>
    <t>6. Calculate the average discount applied per region using a PivotTable which region has the highest</t>
  </si>
  <si>
    <t>Average of Discount</t>
  </si>
  <si>
    <t>QUE.7 Apply a slicer to filter sales by PRODUCT=LAPTOP .what is the total revenue laptop sales?</t>
  </si>
  <si>
    <t>QUE.8 Apply conditional formatting to highlight sales where the Profit is below $1000.How many such sales are there?</t>
  </si>
  <si>
    <t>ANS.There are 7 sales where the profit is below $1000.</t>
  </si>
  <si>
    <t>(blank)</t>
  </si>
  <si>
    <t>Sum of Profit Margin%</t>
  </si>
  <si>
    <t>Sum of  Profit Margin %</t>
  </si>
  <si>
    <t>QUE.9 A create profit margin % calculated field as(Profit/ Revenue)* 100 what is the highest profit margin in the data set</t>
  </si>
  <si>
    <t>QUE.10 A combine the pivot table pivot chart slicers and timeline into a single interactive dashbord.</t>
  </si>
  <si>
    <t>Sum of Units Sold</t>
  </si>
  <si>
    <t>Sum of Discount</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</si>
</sst>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1"/>
      <color theme="1"/>
      <name val="Calibri"/>
      <family val="2"/>
      <scheme val="minor"/>
    </font>
    <font>
      <b/>
      <sz val="10"/>
      <color theme="1"/>
      <name val="Arial"/>
      <family val="2"/>
    </font>
    <font>
      <sz val="10"/>
      <color theme="1"/>
      <name val="Arial"/>
      <family val="2"/>
    </font>
  </fonts>
  <fills count="9">
    <fill>
      <patternFill patternType="none"/>
    </fill>
    <fill>
      <patternFill patternType="gray125"/>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theme="4" tint="0.59999389629810485"/>
        <bgColor indexed="64"/>
      </patternFill>
    </fill>
    <fill>
      <patternFill patternType="solid">
        <fgColor rgb="FFFFFF00"/>
        <bgColor indexed="64"/>
      </patternFill>
    </fill>
    <fill>
      <patternFill patternType="solid">
        <fgColor theme="5"/>
        <bgColor indexed="64"/>
      </patternFill>
    </fill>
    <fill>
      <patternFill patternType="solid">
        <fgColor theme="9"/>
        <bgColor indexed="64"/>
      </patternFill>
    </fill>
    <fill>
      <patternFill patternType="solid">
        <fgColor theme="2" tint="-9.9978637043366805E-2"/>
        <bgColor indexed="64"/>
      </patternFill>
    </fill>
  </fills>
  <borders count="23">
    <border>
      <left/>
      <right/>
      <top/>
      <bottom/>
      <diagonal/>
    </border>
    <border>
      <left style="medium">
        <color rgb="FFCCCCCC"/>
      </left>
      <right style="medium">
        <color rgb="FFCCCCCC"/>
      </right>
      <top style="medium">
        <color rgb="FFCCCCCC"/>
      </top>
      <bottom style="medium">
        <color rgb="FFCCCCCC"/>
      </bottom>
      <diagonal/>
    </border>
    <border>
      <left/>
      <right/>
      <top/>
      <bottom style="thin">
        <color theme="4" tint="0.39997558519241921"/>
      </bottom>
      <diagonal/>
    </border>
    <border>
      <left/>
      <right/>
      <top style="thin">
        <color theme="4" tint="0.39997558519241921"/>
      </top>
      <bottom/>
      <diagonal/>
    </border>
    <border>
      <left style="thin">
        <color indexed="64"/>
      </left>
      <right style="thin">
        <color indexed="64"/>
      </right>
      <top style="thin">
        <color indexed="64"/>
      </top>
      <bottom style="thin">
        <color indexed="6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6">
    <xf numFmtId="0" fontId="0" fillId="0" borderId="0" xfId="0"/>
    <xf numFmtId="0" fontId="2" fillId="0" borderId="1" xfId="0" applyFont="1" applyBorder="1" applyAlignment="1">
      <alignment horizontal="center" wrapText="1"/>
    </xf>
    <xf numFmtId="14" fontId="3" fillId="0" borderId="1" xfId="0" applyNumberFormat="1" applyFont="1" applyBorder="1" applyAlignment="1">
      <alignment horizontal="right" wrapText="1"/>
    </xf>
    <xf numFmtId="0" fontId="3" fillId="0" borderId="1" xfId="0" applyFont="1" applyBorder="1" applyAlignment="1">
      <alignment wrapText="1"/>
    </xf>
    <xf numFmtId="0" fontId="3" fillId="0" borderId="1" xfId="0" applyFont="1" applyBorder="1" applyAlignment="1">
      <alignment horizontal="right" wrapText="1"/>
    </xf>
    <xf numFmtId="9" fontId="3" fillId="0" borderId="1" xfId="0" applyNumberFormat="1" applyFont="1" applyBorder="1" applyAlignment="1">
      <alignment horizontal="right" wrapText="1"/>
    </xf>
    <xf numFmtId="0" fontId="0" fillId="0" borderId="0" xfId="0" pivotButton="1"/>
    <xf numFmtId="0" fontId="0" fillId="0" borderId="0" xfId="0" applyAlignment="1">
      <alignment horizontal="left"/>
    </xf>
    <xf numFmtId="0" fontId="0" fillId="0" borderId="0" xfId="0" applyNumberFormat="1"/>
    <xf numFmtId="0" fontId="1" fillId="2" borderId="2" xfId="0" applyFont="1" applyFill="1" applyBorder="1"/>
    <xf numFmtId="0" fontId="1" fillId="2" borderId="3" xfId="0" applyNumberFormat="1" applyFont="1" applyFill="1" applyBorder="1"/>
    <xf numFmtId="0" fontId="0" fillId="3" borderId="0" xfId="0" applyFill="1"/>
    <xf numFmtId="0" fontId="0" fillId="4" borderId="0" xfId="0" applyFill="1" applyAlignment="1">
      <alignment horizontal="left"/>
    </xf>
    <xf numFmtId="0" fontId="0" fillId="4" borderId="0" xfId="0" applyNumberFormat="1" applyFill="1"/>
    <xf numFmtId="0" fontId="0" fillId="5" borderId="4" xfId="0" applyFill="1" applyBorder="1" applyAlignment="1"/>
    <xf numFmtId="0" fontId="0" fillId="5" borderId="4" xfId="0" applyFill="1" applyBorder="1"/>
    <xf numFmtId="14" fontId="0" fillId="0" borderId="0" xfId="0" applyNumberFormat="1" applyAlignment="1">
      <alignment horizontal="left"/>
    </xf>
    <xf numFmtId="0" fontId="0" fillId="5" borderId="0" xfId="0" applyFill="1" applyAlignment="1">
      <alignment horizontal="left"/>
    </xf>
    <xf numFmtId="0" fontId="0" fillId="5" borderId="0" xfId="0" applyNumberFormat="1" applyFill="1"/>
    <xf numFmtId="0" fontId="0" fillId="6" borderId="0" xfId="0" applyFill="1" applyAlignment="1">
      <alignment horizontal="left"/>
    </xf>
    <xf numFmtId="0" fontId="0" fillId="6" borderId="0" xfId="0" applyNumberFormat="1" applyFill="1"/>
    <xf numFmtId="10" fontId="0" fillId="0" borderId="0" xfId="0" applyNumberFormat="1"/>
    <xf numFmtId="0" fontId="0" fillId="0" borderId="0" xfId="0" applyAlignment="1"/>
    <xf numFmtId="0" fontId="0" fillId="0" borderId="0" xfId="0" applyFill="1"/>
    <xf numFmtId="0" fontId="0" fillId="0" borderId="0" xfId="0" applyFill="1" applyBorder="1" applyAlignment="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9" fontId="0" fillId="0" borderId="0" xfId="0" applyNumberFormat="1"/>
    <xf numFmtId="14" fontId="0" fillId="0" borderId="0" xfId="0" applyNumberFormat="1"/>
    <xf numFmtId="0" fontId="0" fillId="8" borderId="0" xfId="0" applyFill="1"/>
    <xf numFmtId="0" fontId="0" fillId="5" borderId="14" xfId="0" applyFill="1" applyBorder="1" applyAlignment="1">
      <alignment horizontal="center"/>
    </xf>
    <xf numFmtId="0" fontId="0" fillId="5" borderId="15" xfId="0" applyFill="1" applyBorder="1" applyAlignment="1">
      <alignment horizontal="center"/>
    </xf>
    <xf numFmtId="0" fontId="0" fillId="5" borderId="16" xfId="0" applyFill="1" applyBorder="1" applyAlignment="1">
      <alignment horizontal="center"/>
    </xf>
    <xf numFmtId="0" fontId="0" fillId="7" borderId="17" xfId="0" applyFill="1" applyBorder="1" applyAlignment="1">
      <alignment horizontal="center" vertical="center"/>
    </xf>
    <xf numFmtId="0" fontId="0" fillId="7" borderId="18" xfId="0" applyFill="1" applyBorder="1" applyAlignment="1">
      <alignment horizontal="center" vertical="center"/>
    </xf>
    <xf numFmtId="0" fontId="0" fillId="7" borderId="19" xfId="0" applyFill="1" applyBorder="1" applyAlignment="1">
      <alignment horizontal="center" vertical="center"/>
    </xf>
    <xf numFmtId="0" fontId="0" fillId="7" borderId="20" xfId="0" applyFill="1" applyBorder="1" applyAlignment="1">
      <alignment horizontal="center" vertical="center"/>
    </xf>
    <xf numFmtId="0" fontId="0" fillId="7" borderId="21" xfId="0" applyFill="1" applyBorder="1" applyAlignment="1">
      <alignment horizontal="center" vertical="center"/>
    </xf>
    <xf numFmtId="0" fontId="0" fillId="7" borderId="22" xfId="0" applyFill="1" applyBorder="1" applyAlignment="1">
      <alignment horizontal="center" vertical="center"/>
    </xf>
  </cellXfs>
  <cellStyles count="1">
    <cellStyle name="Normal" xfId="0" builtinId="0"/>
  </cellStyles>
  <dxfs count="12">
    <dxf>
      <fill>
        <patternFill patternType="solid">
          <bgColor rgb="FFFFFF00"/>
        </patternFill>
      </fill>
    </dxf>
    <dxf>
      <fill>
        <patternFill patternType="solid">
          <bgColor theme="4" tint="0.59999389629810485"/>
        </patternFill>
      </fill>
    </dxf>
    <dxf>
      <fill>
        <patternFill patternType="solid">
          <bgColor theme="4" tint="0.59999389629810485"/>
        </patternFill>
      </fill>
    </dxf>
    <dxf>
      <fill>
        <patternFill patternType="solid">
          <bgColor theme="4" tint="0.79998168889431442"/>
        </patternFill>
      </fill>
    </dxf>
    <dxf>
      <fill>
        <patternFill patternType="solid">
          <bgColor theme="4" tint="0.79998168889431442"/>
        </patternFill>
      </fill>
    </dxf>
    <dxf>
      <fill>
        <patternFill patternType="solid">
          <bgColor theme="5"/>
        </patternFill>
      </fill>
    </dxf>
    <dxf>
      <font>
        <color rgb="FF9C0006"/>
      </font>
      <fill>
        <patternFill>
          <bgColor rgb="FFFFC7CE"/>
        </patternFill>
      </fill>
    </dxf>
    <dxf>
      <numFmt numFmtId="13" formatCode="0%"/>
    </dxf>
    <dxf>
      <numFmt numFmtId="13" formatCode="0%"/>
    </dxf>
    <dxf>
      <numFmt numFmtId="19" formatCode="m/d/yyyy"/>
    </dxf>
    <dxf>
      <fill>
        <patternFill patternType="solid">
          <bgColor theme="5"/>
        </patternFill>
      </fill>
    </dxf>
    <dxf>
      <fill>
        <patternFill patternType="solid">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1/relationships/timelineCache" Target="timelineCaches/timelineCache2.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[Week_4_Excel_Introduction_to_Pivot_Table.xlsx]Sheet4!PivotTable1</c:name>
    <c:fmtId val="4"/>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t>Product and Profit</a:t>
            </a:r>
          </a:p>
        </c:rich>
      </c:tx>
      <c:layout>
        <c:manualLayout>
          <c:xMode val="edge"/>
          <c:yMode val="edge"/>
          <c:x val="0.51583333333333337"/>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Sheet4!$A$4:$A$5</c:f>
              <c:strCache>
                <c:ptCount val="2"/>
                <c:pt idx="0">
                  <c:v>Laptop</c:v>
                </c:pt>
                <c:pt idx="1">
                  <c:v>Phone</c:v>
                </c:pt>
              </c:strCache>
            </c:strRef>
          </c:cat>
          <c:val>
            <c:numRef>
              <c:f>Sheet4!$B$4:$B$5</c:f>
              <c:numCache>
                <c:formatCode>General</c:formatCode>
                <c:ptCount val="2"/>
                <c:pt idx="0">
                  <c:v>1800</c:v>
                </c:pt>
                <c:pt idx="1">
                  <c:v>4100</c:v>
                </c:pt>
              </c:numCache>
            </c:numRef>
          </c:val>
        </c:ser>
        <c:dLbls>
          <c:showLegendKey val="0"/>
          <c:showVal val="0"/>
          <c:showCatName val="0"/>
          <c:showSerName val="0"/>
          <c:showPercent val="0"/>
          <c:showBubbleSize val="0"/>
        </c:dLbls>
        <c:gapWidth val="182"/>
        <c:axId val="743636872"/>
        <c:axId val="743635304"/>
      </c:barChart>
      <c:catAx>
        <c:axId val="743636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43635304"/>
        <c:crosses val="autoZero"/>
        <c:auto val="1"/>
        <c:lblAlgn val="ctr"/>
        <c:lblOffset val="100"/>
        <c:noMultiLvlLbl val="0"/>
      </c:catAx>
      <c:valAx>
        <c:axId val="7436353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43636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chart>
  <c:spPr>
    <a:solidFill>
      <a:schemeClr val="accent4"/>
    </a:solidFill>
    <a:ln w="12700" cap="flat" cmpd="sng" algn="ctr">
      <a:solidFill>
        <a:schemeClr val="accent4">
          <a:shade val="50000"/>
        </a:schemeClr>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[Week_4_Excel_Introduction_to_Pivot_Table.xlsx]Sheet13!PivotTable4</c:name>
    <c:fmtId val="3"/>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t>Salesperson and Revenue </a:t>
            </a:r>
          </a:p>
        </c:rich>
      </c:tx>
      <c:layout>
        <c:manualLayout>
          <c:xMode val="edge"/>
          <c:yMode val="edge"/>
          <c:x val="0.46346936200282657"/>
          <c:y val="0.1293696983529232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Sheet13!$B$3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Sheet13!$A$4:$A$7</c:f>
              <c:strCache>
                <c:ptCount val="4"/>
                <c:pt idx="0">
                  <c:v>Adam Lee</c:v>
                </c:pt>
                <c:pt idx="1">
                  <c:v>Emily Clark</c:v>
                </c:pt>
                <c:pt idx="2">
                  <c:v>Jane Smith</c:v>
                </c:pt>
                <c:pt idx="3">
                  <c:v>John Doe</c:v>
                </c:pt>
              </c:strCache>
            </c:strRef>
          </c:cat>
          <c:val>
            <c:numRef>
              <c:f>Sheet13!$B$4:$B$7</c:f>
              <c:numCache>
                <c:formatCode>General</c:formatCode>
                <c:ptCount val="4"/>
                <c:pt idx="0">
                  <c:v>54</c:v>
                </c:pt>
                <c:pt idx="1">
                  <c:v>42</c:v>
                </c:pt>
                <c:pt idx="2">
                  <c:v>43</c:v>
                </c:pt>
                <c:pt idx="3">
                  <c:v>43</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chart>
  <c:spPr>
    <a:solidFill>
      <a:schemeClr val="accent5"/>
    </a:solidFill>
    <a:ln w="12700" cap="flat" cmpd="sng" algn="ctr">
      <a:solidFill>
        <a:schemeClr val="accent5">
          <a:shade val="50000"/>
        </a:schemeClr>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[Week_4_Excel_Introduction_to_Pivot_Table.xlsx]Sheet14!PivotTable5</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Product</a:t>
            </a:r>
            <a:r>
              <a:rPr lang="en-US" baseline="0"/>
              <a:t> and Discount</a:t>
            </a:r>
            <a:endParaRPr lang="en-US"/>
          </a:p>
        </c:rich>
      </c:tx>
      <c:layout>
        <c:manualLayout>
          <c:xMode val="edge"/>
          <c:yMode val="edge"/>
          <c:x val="0.29495412844036695"/>
          <c:y val="0.1309935343447922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Sheet14!$B$3</c:f>
              <c:strCache>
                <c:ptCount val="1"/>
                <c:pt idx="0">
                  <c:v>Total</c:v>
                </c:pt>
              </c:strCache>
            </c:strRef>
          </c:tx>
          <c:spPr>
            <a:solidFill>
              <a:schemeClr val="accent1"/>
            </a:solidFill>
            <a:ln>
              <a:noFill/>
            </a:ln>
            <a:effectLst/>
          </c:spPr>
          <c:invertIfNegative val="0"/>
          <c:cat>
            <c:strRef>
              <c:f>Sheet14!$A$4:$A$7</c:f>
              <c:strCache>
                <c:ptCount val="4"/>
                <c:pt idx="0">
                  <c:v>Laptop</c:v>
                </c:pt>
                <c:pt idx="1">
                  <c:v>Monitor</c:v>
                </c:pt>
                <c:pt idx="2">
                  <c:v>Phone</c:v>
                </c:pt>
                <c:pt idx="3">
                  <c:v>Tablet</c:v>
                </c:pt>
              </c:strCache>
            </c:strRef>
          </c:cat>
          <c:val>
            <c:numRef>
              <c:f>Sheet14!$B$4:$B$7</c:f>
              <c:numCache>
                <c:formatCode>0%</c:formatCode>
                <c:ptCount val="4"/>
                <c:pt idx="0">
                  <c:v>0.30281690140845074</c:v>
                </c:pt>
                <c:pt idx="1">
                  <c:v>0.2394366197183099</c:v>
                </c:pt>
                <c:pt idx="2">
                  <c:v>0.19014084507042256</c:v>
                </c:pt>
                <c:pt idx="3">
                  <c:v>0.26760563380281688</c:v>
                </c:pt>
              </c:numCache>
            </c:numRef>
          </c:val>
        </c:ser>
        <c:dLbls>
          <c:showLegendKey val="0"/>
          <c:showVal val="0"/>
          <c:showCatName val="0"/>
          <c:showSerName val="0"/>
          <c:showPercent val="0"/>
          <c:showBubbleSize val="0"/>
        </c:dLbls>
        <c:gapWidth val="219"/>
        <c:overlap val="-27"/>
        <c:axId val="743632560"/>
        <c:axId val="743636088"/>
      </c:barChart>
      <c:catAx>
        <c:axId val="743632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43636088"/>
        <c:crosses val="autoZero"/>
        <c:auto val="1"/>
        <c:lblAlgn val="ctr"/>
        <c:lblOffset val="100"/>
        <c:noMultiLvlLbl val="0"/>
      </c:catAx>
      <c:valAx>
        <c:axId val="7436360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43632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chart>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6350" cap="flat" cmpd="sng" algn="ctr">
      <a:solidFill>
        <a:schemeClr val="accent4"/>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[Week_4_Excel_Introduction_to_Pivot_Table.xlsx]Sheet4!PivotTable1</c:name>
    <c:fmtId val="0"/>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t>Product and Profit</a:t>
            </a:r>
          </a:p>
        </c:rich>
      </c:tx>
      <c:layout>
        <c:manualLayout>
          <c:xMode val="edge"/>
          <c:yMode val="edge"/>
          <c:x val="0.51583333333333337"/>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Sheet4!$A$4:$A$5</c:f>
              <c:strCache>
                <c:ptCount val="2"/>
                <c:pt idx="0">
                  <c:v>Laptop</c:v>
                </c:pt>
                <c:pt idx="1">
                  <c:v>Phone</c:v>
                </c:pt>
              </c:strCache>
            </c:strRef>
          </c:cat>
          <c:val>
            <c:numRef>
              <c:f>Sheet4!$B$4:$B$5</c:f>
              <c:numCache>
                <c:formatCode>General</c:formatCode>
                <c:ptCount val="2"/>
                <c:pt idx="0">
                  <c:v>1800</c:v>
                </c:pt>
                <c:pt idx="1">
                  <c:v>4100</c:v>
                </c:pt>
              </c:numCache>
            </c:numRef>
          </c:val>
        </c:ser>
        <c:dLbls>
          <c:showLegendKey val="0"/>
          <c:showVal val="0"/>
          <c:showCatName val="0"/>
          <c:showSerName val="0"/>
          <c:showPercent val="0"/>
          <c:showBubbleSize val="0"/>
        </c:dLbls>
        <c:gapWidth val="182"/>
        <c:axId val="747842840"/>
        <c:axId val="747834216"/>
      </c:barChart>
      <c:catAx>
        <c:axId val="747842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47834216"/>
        <c:crosses val="autoZero"/>
        <c:auto val="1"/>
        <c:lblAlgn val="ctr"/>
        <c:lblOffset val="100"/>
        <c:noMultiLvlLbl val="0"/>
      </c:catAx>
      <c:valAx>
        <c:axId val="7478342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47842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chart>
  <c:spPr>
    <a:solidFill>
      <a:schemeClr val="accent4"/>
    </a:solidFill>
    <a:ln w="12700" cap="flat" cmpd="sng" algn="ctr">
      <a:solidFill>
        <a:schemeClr val="accent4">
          <a:shade val="50000"/>
        </a:schemeClr>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[Week_4_Excel_Introduction_to_Pivot_Table.xlsx]Sheet13!PivotTable4</c:name>
    <c:fmtId val="0"/>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t>Salesperson and Revenue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Sheet13!$B$3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Sheet13!$A$4:$A$7</c:f>
              <c:strCache>
                <c:ptCount val="4"/>
                <c:pt idx="0">
                  <c:v>Adam Lee</c:v>
                </c:pt>
                <c:pt idx="1">
                  <c:v>Emily Clark</c:v>
                </c:pt>
                <c:pt idx="2">
                  <c:v>Jane Smith</c:v>
                </c:pt>
                <c:pt idx="3">
                  <c:v>John Doe</c:v>
                </c:pt>
              </c:strCache>
            </c:strRef>
          </c:cat>
          <c:val>
            <c:numRef>
              <c:f>Sheet13!$B$4:$B$7</c:f>
              <c:numCache>
                <c:formatCode>General</c:formatCode>
                <c:ptCount val="4"/>
                <c:pt idx="0">
                  <c:v>54</c:v>
                </c:pt>
                <c:pt idx="1">
                  <c:v>42</c:v>
                </c:pt>
                <c:pt idx="2">
                  <c:v>43</c:v>
                </c:pt>
                <c:pt idx="3">
                  <c:v>43</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chart>
  <c:spPr>
    <a:solidFill>
      <a:schemeClr val="accent5"/>
    </a:solidFill>
    <a:ln w="12700" cap="flat" cmpd="sng" algn="ctr">
      <a:solidFill>
        <a:schemeClr val="accent5">
          <a:shade val="50000"/>
        </a:schemeClr>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[Week_4_Excel_Introduction_to_Pivot_Table.xlsx]Sheet14!PivotTable5</c:name>
    <c:fmtId val="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Product</a:t>
            </a:r>
            <a:r>
              <a:rPr lang="en-US" baseline="0"/>
              <a:t> and Discount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Sheet14!$B$3</c:f>
              <c:strCache>
                <c:ptCount val="1"/>
                <c:pt idx="0">
                  <c:v>Total</c:v>
                </c:pt>
              </c:strCache>
            </c:strRef>
          </c:tx>
          <c:spPr>
            <a:solidFill>
              <a:schemeClr val="accent1"/>
            </a:solidFill>
            <a:ln>
              <a:noFill/>
            </a:ln>
            <a:effectLst/>
          </c:spPr>
          <c:invertIfNegative val="0"/>
          <c:cat>
            <c:strRef>
              <c:f>Sheet14!$A$4:$A$7</c:f>
              <c:strCache>
                <c:ptCount val="4"/>
                <c:pt idx="0">
                  <c:v>Laptop</c:v>
                </c:pt>
                <c:pt idx="1">
                  <c:v>Monitor</c:v>
                </c:pt>
                <c:pt idx="2">
                  <c:v>Phone</c:v>
                </c:pt>
                <c:pt idx="3">
                  <c:v>Tablet</c:v>
                </c:pt>
              </c:strCache>
            </c:strRef>
          </c:cat>
          <c:val>
            <c:numRef>
              <c:f>Sheet14!$B$4:$B$7</c:f>
              <c:numCache>
                <c:formatCode>0%</c:formatCode>
                <c:ptCount val="4"/>
                <c:pt idx="0">
                  <c:v>0.30281690140845074</c:v>
                </c:pt>
                <c:pt idx="1">
                  <c:v>0.2394366197183099</c:v>
                </c:pt>
                <c:pt idx="2">
                  <c:v>0.19014084507042256</c:v>
                </c:pt>
                <c:pt idx="3">
                  <c:v>0.26760563380281688</c:v>
                </c:pt>
              </c:numCache>
            </c:numRef>
          </c:val>
        </c:ser>
        <c:dLbls>
          <c:showLegendKey val="0"/>
          <c:showVal val="0"/>
          <c:showCatName val="0"/>
          <c:showSerName val="0"/>
          <c:showPercent val="0"/>
          <c:showBubbleSize val="0"/>
        </c:dLbls>
        <c:gapWidth val="219"/>
        <c:overlap val="-27"/>
        <c:axId val="747836960"/>
        <c:axId val="747834608"/>
      </c:barChart>
      <c:catAx>
        <c:axId val="747836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47834608"/>
        <c:crosses val="autoZero"/>
        <c:auto val="1"/>
        <c:lblAlgn val="ctr"/>
        <c:lblOffset val="100"/>
        <c:noMultiLvlLbl val="0"/>
      </c:catAx>
      <c:valAx>
        <c:axId val="7478346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47836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chart>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6350" cap="flat" cmpd="sng" algn="ctr">
      <a:solidFill>
        <a:schemeClr val="accent4"/>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[Week_4_Excel_Introduction_to_Pivot_Table.xlsx]Sheet4!PivotTable1</c:name>
    <c:fmtId val="6"/>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t>Product and Profit</a:t>
            </a:r>
          </a:p>
        </c:rich>
      </c:tx>
      <c:layout>
        <c:manualLayout>
          <c:xMode val="edge"/>
          <c:yMode val="edge"/>
          <c:x val="0.51583333333333337"/>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s>
    <c:plotArea>
      <c:layout/>
      <c:barChart>
        <c:barDir val="bar"/>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Sheet4!$A$4:$A$5</c:f>
              <c:strCache>
                <c:ptCount val="2"/>
                <c:pt idx="0">
                  <c:v>Laptop</c:v>
                </c:pt>
                <c:pt idx="1">
                  <c:v>Phone</c:v>
                </c:pt>
              </c:strCache>
            </c:strRef>
          </c:cat>
          <c:val>
            <c:numRef>
              <c:f>Sheet4!$B$4:$B$5</c:f>
              <c:numCache>
                <c:formatCode>General</c:formatCode>
                <c:ptCount val="2"/>
                <c:pt idx="0">
                  <c:v>1800</c:v>
                </c:pt>
                <c:pt idx="1">
                  <c:v>4100</c:v>
                </c:pt>
              </c:numCache>
            </c:numRef>
          </c:val>
        </c:ser>
        <c:dLbls>
          <c:showLegendKey val="0"/>
          <c:showVal val="0"/>
          <c:showCatName val="0"/>
          <c:showSerName val="0"/>
          <c:showPercent val="0"/>
          <c:showBubbleSize val="0"/>
        </c:dLbls>
        <c:gapWidth val="182"/>
        <c:axId val="747837744"/>
        <c:axId val="747838528"/>
      </c:barChart>
      <c:catAx>
        <c:axId val="74783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47838528"/>
        <c:crosses val="autoZero"/>
        <c:auto val="1"/>
        <c:lblAlgn val="ctr"/>
        <c:lblOffset val="100"/>
        <c:noMultiLvlLbl val="0"/>
      </c:catAx>
      <c:valAx>
        <c:axId val="7478385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4783774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chart>
  <c:spPr>
    <a:solidFill>
      <a:schemeClr val="accent4"/>
    </a:solidFill>
    <a:ln w="12700" cap="flat" cmpd="sng" algn="ctr">
      <a:solidFill>
        <a:schemeClr val="accent4">
          <a:shade val="50000"/>
        </a:schemeClr>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[Week_4_Excel_Introduction_to_Pivot_Table.xlsx]Sheet13!PivotTable4</c:name>
    <c:fmtId val="5"/>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t>Salesperson and Revenue </a:t>
            </a:r>
          </a:p>
        </c:rich>
      </c:tx>
      <c:layout>
        <c:manualLayout>
          <c:xMode val="edge"/>
          <c:yMode val="edge"/>
          <c:x val="0.46346936200282657"/>
          <c:y val="0.1293696983529232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pieChart>
        <c:varyColors val="1"/>
        <c:ser>
          <c:idx val="0"/>
          <c:order val="0"/>
          <c:tx>
            <c:strRef>
              <c:f>Sheet13!$B$3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Sheet13!$A$4:$A$7</c:f>
              <c:strCache>
                <c:ptCount val="4"/>
                <c:pt idx="0">
                  <c:v>Adam Lee</c:v>
                </c:pt>
                <c:pt idx="1">
                  <c:v>Emily Clark</c:v>
                </c:pt>
                <c:pt idx="2">
                  <c:v>Jane Smith</c:v>
                </c:pt>
                <c:pt idx="3">
                  <c:v>John Doe</c:v>
                </c:pt>
              </c:strCache>
            </c:strRef>
          </c:cat>
          <c:val>
            <c:numRef>
              <c:f>Sheet13!$B$4:$B$7</c:f>
              <c:numCache>
                <c:formatCode>General</c:formatCode>
                <c:ptCount val="4"/>
                <c:pt idx="0">
                  <c:v>54</c:v>
                </c:pt>
                <c:pt idx="1">
                  <c:v>42</c:v>
                </c:pt>
                <c:pt idx="2">
                  <c:v>43</c:v>
                </c:pt>
                <c:pt idx="3">
                  <c:v>43</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chart>
  <c:spPr>
    <a:solidFill>
      <a:schemeClr val="accent5"/>
    </a:solidFill>
    <a:ln w="12700" cap="flat" cmpd="sng" algn="ctr">
      <a:solidFill>
        <a:schemeClr val="accent5">
          <a:shade val="50000"/>
        </a:schemeClr>
      </a:solidFill>
      <a:prstDash val="solid"/>
      <a:miter lim="800000"/>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[Week_4_Excel_Introduction_to_Pivot_Table.xlsx]Sheet14!PivotTable5</c:name>
    <c:fmtId val="5"/>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Product</a:t>
            </a:r>
            <a:r>
              <a:rPr lang="en-US" baseline="0"/>
              <a:t> and Discount</a:t>
            </a:r>
            <a:endParaRPr lang="en-US"/>
          </a:p>
        </c:rich>
      </c:tx>
      <c:layout>
        <c:manualLayout>
          <c:xMode val="edge"/>
          <c:yMode val="edge"/>
          <c:x val="0.29495412844036695"/>
          <c:y val="0.1309935343447922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s>
    <c:plotArea>
      <c:layout/>
      <c:barChart>
        <c:barDir val="col"/>
        <c:grouping val="clustered"/>
        <c:varyColors val="0"/>
        <c:ser>
          <c:idx val="0"/>
          <c:order val="0"/>
          <c:tx>
            <c:strRef>
              <c:f>Sheet14!$B$3</c:f>
              <c:strCache>
                <c:ptCount val="1"/>
                <c:pt idx="0">
                  <c:v>Total</c:v>
                </c:pt>
              </c:strCache>
            </c:strRef>
          </c:tx>
          <c:spPr>
            <a:solidFill>
              <a:schemeClr val="accent1"/>
            </a:solidFill>
            <a:ln>
              <a:noFill/>
            </a:ln>
            <a:effectLst/>
          </c:spPr>
          <c:invertIfNegative val="0"/>
          <c:cat>
            <c:strRef>
              <c:f>Sheet14!$A$4:$A$7</c:f>
              <c:strCache>
                <c:ptCount val="4"/>
                <c:pt idx="0">
                  <c:v>Laptop</c:v>
                </c:pt>
                <c:pt idx="1">
                  <c:v>Monitor</c:v>
                </c:pt>
                <c:pt idx="2">
                  <c:v>Phone</c:v>
                </c:pt>
                <c:pt idx="3">
                  <c:v>Tablet</c:v>
                </c:pt>
              </c:strCache>
            </c:strRef>
          </c:cat>
          <c:val>
            <c:numRef>
              <c:f>Sheet14!$B$4:$B$7</c:f>
              <c:numCache>
                <c:formatCode>0%</c:formatCode>
                <c:ptCount val="4"/>
                <c:pt idx="0">
                  <c:v>0.30281690140845074</c:v>
                </c:pt>
                <c:pt idx="1">
                  <c:v>0.2394366197183099</c:v>
                </c:pt>
                <c:pt idx="2">
                  <c:v>0.19014084507042256</c:v>
                </c:pt>
                <c:pt idx="3">
                  <c:v>0.26760563380281688</c:v>
                </c:pt>
              </c:numCache>
            </c:numRef>
          </c:val>
        </c:ser>
        <c:dLbls>
          <c:showLegendKey val="0"/>
          <c:showVal val="0"/>
          <c:showCatName val="0"/>
          <c:showSerName val="0"/>
          <c:showPercent val="0"/>
          <c:showBubbleSize val="0"/>
        </c:dLbls>
        <c:gapWidth val="219"/>
        <c:overlap val="-27"/>
        <c:axId val="747839312"/>
        <c:axId val="747844016"/>
      </c:barChart>
      <c:catAx>
        <c:axId val="747839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47844016"/>
        <c:crosses val="autoZero"/>
        <c:auto val="1"/>
        <c:lblAlgn val="ctr"/>
        <c:lblOffset val="100"/>
        <c:noMultiLvlLbl val="0"/>
      </c:catAx>
      <c:valAx>
        <c:axId val="7478440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4783931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chart>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6350" cap="flat" cmpd="sng" algn="ctr">
      <a:solidFill>
        <a:schemeClr val="accent4"/>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4.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6.xml"/></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8</xdr:col>
      <xdr:colOff>160020</xdr:colOff>
      <xdr:row>8</xdr:row>
      <xdr:rowOff>45720</xdr:rowOff>
    </xdr:from>
    <xdr:to>
      <xdr:col>11</xdr:col>
      <xdr:colOff>160020</xdr:colOff>
      <xdr:row>21</xdr:row>
      <xdr:rowOff>135255</xdr:rowOff>
    </xdr:to>
    <mc:AlternateContent xmlns:mc="http://schemas.openxmlformats.org/markup-compatibility/2006" xmlns:a14="http://schemas.microsoft.com/office/drawing/2010/main">
      <mc:Choice Requires="a14">
        <xdr:graphicFrame macro="">
          <xdr:nvGraphicFramePr>
            <xdr:cNvPr id="2" name="Salesperson"/>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5288280" y="15087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137160</xdr:colOff>
      <xdr:row>10</xdr:row>
      <xdr:rowOff>38100</xdr:rowOff>
    </xdr:from>
    <xdr:to>
      <xdr:col>10</xdr:col>
      <xdr:colOff>426720</xdr:colOff>
      <xdr:row>18</xdr:row>
      <xdr:rowOff>129540</xdr:rowOff>
    </xdr:to>
    <mc:AlternateContent xmlns:mc="http://schemas.openxmlformats.org/markup-compatibility/2006" xmlns:tsle="http://schemas.microsoft.com/office/drawing/2012/timeslicer">
      <mc:Choice Requires="tsle">
        <xdr:graphicFrame macro="">
          <xdr:nvGraphicFramePr>
            <xdr:cNvPr id="2" name="Date"/>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3848100" y="1866900"/>
              <a:ext cx="3337560" cy="155448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601980</xdr:colOff>
      <xdr:row>0</xdr:row>
      <xdr:rowOff>114300</xdr:rowOff>
    </xdr:from>
    <xdr:to>
      <xdr:col>5</xdr:col>
      <xdr:colOff>601980</xdr:colOff>
      <xdr:row>14</xdr:row>
      <xdr:rowOff>20955</xdr:rowOff>
    </xdr:to>
    <mc:AlternateContent xmlns:mc="http://schemas.openxmlformats.org/markup-compatibility/2006" xmlns:a14="http://schemas.microsoft.com/office/drawing/2010/main">
      <mc:Choice Requires="a14">
        <xdr:graphicFrame macro="">
          <xdr:nvGraphicFramePr>
            <xdr:cNvPr id="2"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2484120" y="11430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68580</xdr:colOff>
      <xdr:row>16</xdr:row>
      <xdr:rowOff>137160</xdr:rowOff>
    </xdr:from>
    <xdr:to>
      <xdr:col>6</xdr:col>
      <xdr:colOff>251460</xdr:colOff>
      <xdr:row>29</xdr:row>
      <xdr:rowOff>76200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350520</xdr:colOff>
      <xdr:row>0</xdr:row>
      <xdr:rowOff>167640</xdr:rowOff>
    </xdr:from>
    <xdr:to>
      <xdr:col>19</xdr:col>
      <xdr:colOff>167640</xdr:colOff>
      <xdr:row>4</xdr:row>
      <xdr:rowOff>91440</xdr:rowOff>
    </xdr:to>
    <mc:AlternateContent xmlns:mc="http://schemas.openxmlformats.org/markup-compatibility/2006" xmlns:a14="http://schemas.microsoft.com/office/drawing/2010/main">
      <mc:Choice Requires="a14">
        <xdr:graphicFrame macro="">
          <xdr:nvGraphicFramePr>
            <xdr:cNvPr id="3"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4008120" y="167640"/>
              <a:ext cx="7741920" cy="6553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327660</xdr:colOff>
      <xdr:row>6</xdr:row>
      <xdr:rowOff>68580</xdr:rowOff>
    </xdr:from>
    <xdr:to>
      <xdr:col>20</xdr:col>
      <xdr:colOff>7620</xdr:colOff>
      <xdr:row>14</xdr:row>
      <xdr:rowOff>160020</xdr:rowOff>
    </xdr:to>
    <mc:AlternateContent xmlns:mc="http://schemas.openxmlformats.org/markup-compatibility/2006" xmlns:tsle="http://schemas.microsoft.com/office/drawing/2012/timeslicer">
      <mc:Choice Requires="tsle">
        <xdr:graphicFrame macro="">
          <xdr:nvGraphicFramePr>
            <xdr:cNvPr id="4" name="Date 3"/>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8862060" y="1165860"/>
              <a:ext cx="3337560" cy="155448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91440</xdr:colOff>
      <xdr:row>1</xdr:row>
      <xdr:rowOff>99060</xdr:rowOff>
    </xdr:from>
    <xdr:to>
      <xdr:col>6</xdr:col>
      <xdr:colOff>266700</xdr:colOff>
      <xdr:row>15</xdr:row>
      <xdr:rowOff>167640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45720</xdr:colOff>
      <xdr:row>6</xdr:row>
      <xdr:rowOff>129540</xdr:rowOff>
    </xdr:from>
    <xdr:to>
      <xdr:col>13</xdr:col>
      <xdr:colOff>541020</xdr:colOff>
      <xdr:row>28</xdr:row>
      <xdr:rowOff>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0</xdr:colOff>
      <xdr:row>1</xdr:row>
      <xdr:rowOff>106680</xdr:rowOff>
    </xdr:from>
    <xdr:to>
      <xdr:col>9</xdr:col>
      <xdr:colOff>182880</xdr:colOff>
      <xdr:row>15</xdr:row>
      <xdr:rowOff>68580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297180</xdr:colOff>
      <xdr:row>0</xdr:row>
      <xdr:rowOff>76201</xdr:rowOff>
    </xdr:from>
    <xdr:to>
      <xdr:col>12</xdr:col>
      <xdr:colOff>297180</xdr:colOff>
      <xdr:row>8</xdr:row>
      <xdr:rowOff>152401</xdr:rowOff>
    </xdr:to>
    <mc:AlternateContent xmlns:mc="http://schemas.openxmlformats.org/markup-compatibility/2006" xmlns:a14="http://schemas.microsoft.com/office/drawing/2010/main">
      <mc:Choice Requires="a14">
        <xdr:graphicFrame macro="">
          <xdr:nvGraphicFramePr>
            <xdr:cNvPr id="3"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256020" y="76201"/>
              <a:ext cx="1828800" cy="15392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7</xdr:col>
      <xdr:colOff>266700</xdr:colOff>
      <xdr:row>11</xdr:row>
      <xdr:rowOff>38100</xdr:rowOff>
    </xdr:from>
    <xdr:to>
      <xdr:col>12</xdr:col>
      <xdr:colOff>556260</xdr:colOff>
      <xdr:row>19</xdr:row>
      <xdr:rowOff>129540</xdr:rowOff>
    </xdr:to>
    <mc:AlternateContent xmlns:mc="http://schemas.openxmlformats.org/markup-compatibility/2006" xmlns:tsle="http://schemas.microsoft.com/office/drawing/2012/timeslicer">
      <mc:Choice Requires="tsle">
        <xdr:graphicFrame macro="">
          <xdr:nvGraphicFramePr>
            <xdr:cNvPr id="2" name="Date 2"/>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4533900" y="2049780"/>
              <a:ext cx="3337560" cy="155448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5</xdr:col>
      <xdr:colOff>129540</xdr:colOff>
      <xdr:row>8</xdr:row>
      <xdr:rowOff>106680</xdr:rowOff>
    </xdr:from>
    <xdr:to>
      <xdr:col>11</xdr:col>
      <xdr:colOff>434340</xdr:colOff>
      <xdr:row>22</xdr:row>
      <xdr:rowOff>175260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678180</xdr:colOff>
      <xdr:row>9</xdr:row>
      <xdr:rowOff>53340</xdr:rowOff>
    </xdr:from>
    <xdr:to>
      <xdr:col>6</xdr:col>
      <xdr:colOff>563880</xdr:colOff>
      <xdr:row>22</xdr:row>
      <xdr:rowOff>175260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14</xdr:col>
      <xdr:colOff>350520</xdr:colOff>
      <xdr:row>14</xdr:row>
      <xdr:rowOff>297181</xdr:rowOff>
    </xdr:from>
    <xdr:to>
      <xdr:col>17</xdr:col>
      <xdr:colOff>99060</xdr:colOff>
      <xdr:row>19</xdr:row>
      <xdr:rowOff>266701</xdr:rowOff>
    </xdr:to>
    <mc:AlternateContent xmlns:mc="http://schemas.openxmlformats.org/markup-compatibility/2006" xmlns:a14="http://schemas.microsoft.com/office/drawing/2010/main">
      <mc:Choice Requires="a14">
        <xdr:graphicFrame macro="">
          <xdr:nvGraphicFramePr>
            <xdr:cNvPr id="3" name="Salesperson 1"/>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mlns="">
        <xdr:sp macro="" textlink="">
          <xdr:nvSpPr>
            <xdr:cNvPr id="0" name=""/>
            <xdr:cNvSpPr>
              <a:spLocks noTextEdit="1"/>
            </xdr:cNvSpPr>
          </xdr:nvSpPr>
          <xdr:spPr>
            <a:xfrm>
              <a:off x="9029700" y="4564381"/>
              <a:ext cx="1828800" cy="1562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0</xdr:colOff>
      <xdr:row>26</xdr:row>
      <xdr:rowOff>0</xdr:rowOff>
    </xdr:from>
    <xdr:to>
      <xdr:col>20</xdr:col>
      <xdr:colOff>38100</xdr:colOff>
      <xdr:row>34</xdr:row>
      <xdr:rowOff>91440</xdr:rowOff>
    </xdr:to>
    <mc:AlternateContent xmlns:mc="http://schemas.openxmlformats.org/markup-compatibility/2006" xmlns:tsle="http://schemas.microsoft.com/office/drawing/2012/timeslicer">
      <mc:Choice Requires="tsle">
        <xdr:graphicFrame macro="">
          <xdr:nvGraphicFramePr>
            <xdr:cNvPr id="4" name="Date 1"/>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0507980" y="7315200"/>
              <a:ext cx="3337560" cy="155448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12</xdr:col>
      <xdr:colOff>373380</xdr:colOff>
      <xdr:row>86</xdr:row>
      <xdr:rowOff>76201</xdr:rowOff>
    </xdr:from>
    <xdr:to>
      <xdr:col>15</xdr:col>
      <xdr:colOff>373380</xdr:colOff>
      <xdr:row>94</xdr:row>
      <xdr:rowOff>106681</xdr:rowOff>
    </xdr:to>
    <mc:AlternateContent xmlns:mc="http://schemas.openxmlformats.org/markup-compatibility/2006" xmlns:a14="http://schemas.microsoft.com/office/drawing/2010/main">
      <mc:Choice Requires="a14">
        <xdr:graphicFrame macro="">
          <xdr:nvGraphicFramePr>
            <xdr:cNvPr id="6" name="Product 1"/>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7833360" y="18364201"/>
              <a:ext cx="1828800" cy="1493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412377</xdr:colOff>
      <xdr:row>123</xdr:row>
      <xdr:rowOff>53788</xdr:rowOff>
    </xdr:from>
    <xdr:to>
      <xdr:col>24</xdr:col>
      <xdr:colOff>206188</xdr:colOff>
      <xdr:row>147</xdr:row>
      <xdr:rowOff>2101</xdr:rowOff>
    </xdr:to>
    <xdr:pic>
      <xdr:nvPicPr>
        <xdr:cNvPr id="5" name="Picture 4"/>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651812" y="24715694"/>
          <a:ext cx="10058400" cy="4251372"/>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68580</xdr:colOff>
      <xdr:row>16</xdr:row>
      <xdr:rowOff>137160</xdr:rowOff>
    </xdr:from>
    <xdr:to>
      <xdr:col>6</xdr:col>
      <xdr:colOff>251460</xdr:colOff>
      <xdr:row>29</xdr:row>
      <xdr:rowOff>76200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350520</xdr:colOff>
      <xdr:row>0</xdr:row>
      <xdr:rowOff>167640</xdr:rowOff>
    </xdr:from>
    <xdr:to>
      <xdr:col>19</xdr:col>
      <xdr:colOff>167640</xdr:colOff>
      <xdr:row>4</xdr:row>
      <xdr:rowOff>91440</xdr:rowOff>
    </xdr:to>
    <mc:AlternateContent xmlns:mc="http://schemas.openxmlformats.org/markup-compatibility/2006" xmlns:a14="http://schemas.microsoft.com/office/drawing/2010/main">
      <mc:Choice Requires="a14">
        <xdr:graphicFrame macro="">
          <xdr:nvGraphicFramePr>
            <xdr:cNvPr id="3" name="Region 2"/>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4008120" y="167640"/>
              <a:ext cx="7741920" cy="6553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327660</xdr:colOff>
      <xdr:row>6</xdr:row>
      <xdr:rowOff>68580</xdr:rowOff>
    </xdr:from>
    <xdr:to>
      <xdr:col>20</xdr:col>
      <xdr:colOff>7620</xdr:colOff>
      <xdr:row>14</xdr:row>
      <xdr:rowOff>160020</xdr:rowOff>
    </xdr:to>
    <mc:AlternateContent xmlns:mc="http://schemas.openxmlformats.org/markup-compatibility/2006" xmlns:tsle="http://schemas.microsoft.com/office/drawing/2012/timeslicer">
      <mc:Choice Requires="tsle">
        <xdr:graphicFrame macro="">
          <xdr:nvGraphicFramePr>
            <xdr:cNvPr id="4" name="Date 4"/>
            <xdr:cNvGraphicFramePr/>
          </xdr:nvGraphicFramePr>
          <xdr:xfrm>
            <a:off x="0" y="0"/>
            <a:ext cx="0" cy="0"/>
          </xdr:xfrm>
          <a:graphic>
            <a:graphicData uri="http://schemas.microsoft.com/office/drawing/2012/timeslicer">
              <tsle:timeslicer name="Date 4"/>
            </a:graphicData>
          </a:graphic>
        </xdr:graphicFrame>
      </mc:Choice>
      <mc:Fallback xmlns="">
        <xdr:sp macro="" textlink="">
          <xdr:nvSpPr>
            <xdr:cNvPr id="0" name=""/>
            <xdr:cNvSpPr>
              <a:spLocks noTextEdit="1"/>
            </xdr:cNvSpPr>
          </xdr:nvSpPr>
          <xdr:spPr>
            <a:xfrm>
              <a:off x="8862060" y="1165860"/>
              <a:ext cx="3337560" cy="155448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91440</xdr:colOff>
      <xdr:row>1</xdr:row>
      <xdr:rowOff>99060</xdr:rowOff>
    </xdr:from>
    <xdr:to>
      <xdr:col>6</xdr:col>
      <xdr:colOff>266700</xdr:colOff>
      <xdr:row>15</xdr:row>
      <xdr:rowOff>167640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45720</xdr:colOff>
      <xdr:row>6</xdr:row>
      <xdr:rowOff>129540</xdr:rowOff>
    </xdr:from>
    <xdr:to>
      <xdr:col>13</xdr:col>
      <xdr:colOff>541020</xdr:colOff>
      <xdr:row>28</xdr:row>
      <xdr:rowOff>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Tabbu" refreshedDate="46008.663602546294" createdVersion="5" refreshedVersion="5" minRefreshableVersion="3" recordCount="20">
  <cacheSource type="worksheet">
    <worksheetSource ref="A1:H21" sheet="sheet1"/>
  </cacheSource>
  <cacheFields count="8">
    <cacheField name="Date" numFmtId="14">
      <sharedItems containsSemiMixedTypes="0" containsNonDate="0" containsDate="1" containsString="0" minDate="2024-01-01T00:00:00" maxDate="2024-01-21T00:00:00" count="2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sharedItems>
    </cacheField>
    <cacheField name="Region" numFmtId="0">
      <sharedItems count="4">
        <s v="East"/>
        <s v="West"/>
        <s v="North"/>
        <s v="South"/>
      </sharedItems>
    </cacheField>
    <cacheField name="Salesperson" numFmtId="0">
      <sharedItems count="4">
        <s v="John Doe"/>
        <s v="Jane Smith"/>
        <s v="Adam Lee"/>
        <s v="Emily Clark"/>
      </sharedItems>
    </cacheField>
    <cacheField name="Product" numFmtId="0">
      <sharedItems count="4">
        <s v="Laptop"/>
        <s v="Phone"/>
        <s v="Tablet"/>
        <s v="Monitor"/>
      </sharedItems>
    </cacheField>
    <cacheField name="Units Sold" numFmtId="0">
      <sharedItems containsSemiMixedTypes="0" containsString="0" containsNumber="1" containsInteger="1" minValue="4" maxValue="15" count="12">
        <n v="5"/>
        <n v="10"/>
        <n v="8"/>
        <n v="6"/>
        <n v="12"/>
        <n v="7"/>
        <n v="15"/>
        <n v="9"/>
        <n v="4"/>
        <n v="11"/>
        <n v="13"/>
        <n v="14"/>
      </sharedItems>
    </cacheField>
    <cacheField name="Revenue" numFmtId="0">
      <sharedItems containsSemiMixedTypes="0" containsString="0" containsNumber="1" containsInteger="1" minValue="2800" maxValue="10500" count="20">
        <n v="5000"/>
        <n v="7000"/>
        <n v="4000"/>
        <n v="3000"/>
        <n v="8400"/>
        <n v="4900"/>
        <n v="10500"/>
        <n v="6200"/>
        <n v="2800"/>
        <n v="7700"/>
        <n v="3600"/>
        <n v="9100"/>
        <n v="8000"/>
        <n v="4800"/>
        <n v="9900"/>
        <n v="5700"/>
        <n v="7500"/>
        <n v="5200"/>
        <n v="6800"/>
        <n v="4300"/>
      </sharedItems>
    </cacheField>
    <cacheField name="Discount" numFmtId="9">
      <sharedItems containsSemiMixedTypes="0" containsString="0" containsNumber="1" minValue="0.03" maxValue="0.12" count="10">
        <n v="0.1"/>
        <n v="0.05"/>
        <n v="0.08"/>
        <n v="0.12"/>
        <n v="7.0000000000000007E-2"/>
        <n v="0.06"/>
        <n v="0.04"/>
        <n v="0.09"/>
        <n v="0.03"/>
        <n v="0.11"/>
      </sharedItems>
    </cacheField>
    <cacheField name="Profit" numFmtId="0">
      <sharedItems containsSemiMixedTypes="0" containsString="0" containsNumber="1" containsInteger="1" minValue="400" maxValue="2200" count="17">
        <n v="1000"/>
        <n v="1500"/>
        <n v="800"/>
        <n v="600"/>
        <n v="1800"/>
        <n v="900"/>
        <n v="2100"/>
        <n v="1200"/>
        <n v="400"/>
        <n v="1600"/>
        <n v="700"/>
        <n v="1900"/>
        <n v="2200"/>
        <n v="1100"/>
        <n v="1400"/>
        <n v="1300"/>
        <n v="850"/>
      </sharedItems>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Tabbu" refreshedDate="46009.435413078703" createdVersion="5" refreshedVersion="5" minRefreshableVersion="3" recordCount="20">
  <cacheSource type="worksheet">
    <worksheetSource ref="C1:H21" sheet="sheet1"/>
  </cacheSource>
  <cacheFields count="8">
    <cacheField name="Salesperson" numFmtId="0">
      <sharedItems containsBlank="1" count="5">
        <s v="John Doe"/>
        <s v="Jane Smith"/>
        <s v="Adam Lee"/>
        <s v="Emily Clark"/>
        <m/>
      </sharedItems>
    </cacheField>
    <cacheField name="Product" numFmtId="0">
      <sharedItems/>
    </cacheField>
    <cacheField name="Units Sold" numFmtId="0">
      <sharedItems containsSemiMixedTypes="0" containsString="0" containsNumber="1" containsInteger="1" minValue="4" maxValue="15"/>
    </cacheField>
    <cacheField name="Revenue" numFmtId="0">
      <sharedItems containsSemiMixedTypes="0" containsString="0" containsNumber="1" containsInteger="1" minValue="2800" maxValue="10500" count="20">
        <n v="5000"/>
        <n v="7000"/>
        <n v="4000"/>
        <n v="3000"/>
        <n v="8400"/>
        <n v="4900"/>
        <n v="10500"/>
        <n v="6200"/>
        <n v="2800"/>
        <n v="7700"/>
        <n v="3600"/>
        <n v="9100"/>
        <n v="8000"/>
        <n v="4800"/>
        <n v="9900"/>
        <n v="5700"/>
        <n v="7500"/>
        <n v="5200"/>
        <n v="6800"/>
        <n v="4300"/>
      </sharedItems>
    </cacheField>
    <cacheField name="Discount" numFmtId="9">
      <sharedItems containsSemiMixedTypes="0" containsString="0" containsNumber="1" minValue="0.03" maxValue="0.12"/>
    </cacheField>
    <cacheField name="Profit" numFmtId="0">
      <sharedItems containsSemiMixedTypes="0" containsString="0" containsNumber="1" containsInteger="1" minValue="400" maxValue="2200"/>
    </cacheField>
    <cacheField name="Profit Margin%" numFmtId="0" formula="Profit/Revenue*100" databaseField="0"/>
    <cacheField name=" Profit Margin %" numFmtId="0" formula="Profit/Revenue*100" databaseField="0"/>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20">
  <r>
    <x v="0"/>
    <x v="0"/>
    <x v="0"/>
    <x v="0"/>
    <x v="0"/>
    <x v="0"/>
    <x v="0"/>
    <x v="0"/>
  </r>
  <r>
    <x v="1"/>
    <x v="1"/>
    <x v="1"/>
    <x v="1"/>
    <x v="1"/>
    <x v="1"/>
    <x v="1"/>
    <x v="1"/>
  </r>
  <r>
    <x v="2"/>
    <x v="2"/>
    <x v="2"/>
    <x v="2"/>
    <x v="2"/>
    <x v="2"/>
    <x v="2"/>
    <x v="2"/>
  </r>
  <r>
    <x v="3"/>
    <x v="3"/>
    <x v="3"/>
    <x v="3"/>
    <x v="3"/>
    <x v="3"/>
    <x v="3"/>
    <x v="3"/>
  </r>
  <r>
    <x v="4"/>
    <x v="0"/>
    <x v="0"/>
    <x v="1"/>
    <x v="4"/>
    <x v="4"/>
    <x v="4"/>
    <x v="4"/>
  </r>
  <r>
    <x v="5"/>
    <x v="1"/>
    <x v="1"/>
    <x v="0"/>
    <x v="5"/>
    <x v="5"/>
    <x v="5"/>
    <x v="5"/>
  </r>
  <r>
    <x v="6"/>
    <x v="2"/>
    <x v="2"/>
    <x v="3"/>
    <x v="6"/>
    <x v="6"/>
    <x v="6"/>
    <x v="6"/>
  </r>
  <r>
    <x v="7"/>
    <x v="3"/>
    <x v="3"/>
    <x v="2"/>
    <x v="7"/>
    <x v="7"/>
    <x v="7"/>
    <x v="7"/>
  </r>
  <r>
    <x v="8"/>
    <x v="0"/>
    <x v="0"/>
    <x v="0"/>
    <x v="8"/>
    <x v="8"/>
    <x v="0"/>
    <x v="8"/>
  </r>
  <r>
    <x v="9"/>
    <x v="1"/>
    <x v="1"/>
    <x v="1"/>
    <x v="9"/>
    <x v="9"/>
    <x v="8"/>
    <x v="9"/>
  </r>
  <r>
    <x v="10"/>
    <x v="2"/>
    <x v="2"/>
    <x v="2"/>
    <x v="3"/>
    <x v="10"/>
    <x v="1"/>
    <x v="10"/>
  </r>
  <r>
    <x v="11"/>
    <x v="3"/>
    <x v="3"/>
    <x v="3"/>
    <x v="10"/>
    <x v="11"/>
    <x v="4"/>
    <x v="11"/>
  </r>
  <r>
    <x v="12"/>
    <x v="0"/>
    <x v="0"/>
    <x v="1"/>
    <x v="1"/>
    <x v="12"/>
    <x v="5"/>
    <x v="1"/>
  </r>
  <r>
    <x v="13"/>
    <x v="1"/>
    <x v="1"/>
    <x v="0"/>
    <x v="2"/>
    <x v="13"/>
    <x v="2"/>
    <x v="5"/>
  </r>
  <r>
    <x v="14"/>
    <x v="2"/>
    <x v="2"/>
    <x v="3"/>
    <x v="11"/>
    <x v="14"/>
    <x v="6"/>
    <x v="12"/>
  </r>
  <r>
    <x v="15"/>
    <x v="3"/>
    <x v="3"/>
    <x v="2"/>
    <x v="7"/>
    <x v="15"/>
    <x v="9"/>
    <x v="13"/>
  </r>
  <r>
    <x v="16"/>
    <x v="0"/>
    <x v="0"/>
    <x v="0"/>
    <x v="4"/>
    <x v="16"/>
    <x v="7"/>
    <x v="14"/>
  </r>
  <r>
    <x v="17"/>
    <x v="1"/>
    <x v="1"/>
    <x v="1"/>
    <x v="5"/>
    <x v="17"/>
    <x v="5"/>
    <x v="0"/>
  </r>
  <r>
    <x v="18"/>
    <x v="2"/>
    <x v="2"/>
    <x v="2"/>
    <x v="9"/>
    <x v="18"/>
    <x v="1"/>
    <x v="15"/>
  </r>
  <r>
    <x v="19"/>
    <x v="3"/>
    <x v="3"/>
    <x v="3"/>
    <x v="0"/>
    <x v="19"/>
    <x v="4"/>
    <x v="16"/>
  </r>
</pivotCacheRecords>
</file>

<file path=xl/pivotCache/pivotCacheRecords2.xml><?xml version="1.0" encoding="utf-8"?>
<pivotCacheRecords xmlns="http://schemas.openxmlformats.org/spreadsheetml/2006/main" xmlns:r="http://schemas.openxmlformats.org/officeDocument/2006/relationships" count="20">
  <r>
    <x v="0"/>
    <s v="Laptop"/>
    <n v="5"/>
    <x v="0"/>
    <n v="0.1"/>
    <n v="1000"/>
  </r>
  <r>
    <x v="1"/>
    <s v="Phone"/>
    <n v="10"/>
    <x v="1"/>
    <n v="0.05"/>
    <n v="1500"/>
  </r>
  <r>
    <x v="2"/>
    <s v="Tablet"/>
    <n v="8"/>
    <x v="2"/>
    <n v="0.08"/>
    <n v="800"/>
  </r>
  <r>
    <x v="3"/>
    <s v="Monitor"/>
    <n v="6"/>
    <x v="3"/>
    <n v="0.12"/>
    <n v="600"/>
  </r>
  <r>
    <x v="0"/>
    <s v="Phone"/>
    <n v="12"/>
    <x v="4"/>
    <n v="7.0000000000000007E-2"/>
    <n v="1800"/>
  </r>
  <r>
    <x v="1"/>
    <s v="Laptop"/>
    <n v="7"/>
    <x v="5"/>
    <n v="0.06"/>
    <n v="900"/>
  </r>
  <r>
    <x v="2"/>
    <s v="Monitor"/>
    <n v="15"/>
    <x v="6"/>
    <n v="0.04"/>
    <n v="2100"/>
  </r>
  <r>
    <x v="3"/>
    <s v="Tablet"/>
    <n v="9"/>
    <x v="7"/>
    <n v="0.09"/>
    <n v="1200"/>
  </r>
  <r>
    <x v="0"/>
    <s v="Laptop"/>
    <n v="4"/>
    <x v="8"/>
    <n v="0.1"/>
    <n v="400"/>
  </r>
  <r>
    <x v="1"/>
    <s v="Phone"/>
    <n v="11"/>
    <x v="9"/>
    <n v="0.03"/>
    <n v="1600"/>
  </r>
  <r>
    <x v="2"/>
    <s v="Tablet"/>
    <n v="6"/>
    <x v="10"/>
    <n v="0.05"/>
    <n v="700"/>
  </r>
  <r>
    <x v="3"/>
    <s v="Monitor"/>
    <n v="13"/>
    <x v="11"/>
    <n v="7.0000000000000007E-2"/>
    <n v="1900"/>
  </r>
  <r>
    <x v="0"/>
    <s v="Phone"/>
    <n v="10"/>
    <x v="12"/>
    <n v="0.06"/>
    <n v="1500"/>
  </r>
  <r>
    <x v="1"/>
    <s v="Laptop"/>
    <n v="8"/>
    <x v="13"/>
    <n v="0.08"/>
    <n v="900"/>
  </r>
  <r>
    <x v="2"/>
    <s v="Monitor"/>
    <n v="14"/>
    <x v="14"/>
    <n v="0.04"/>
    <n v="2200"/>
  </r>
  <r>
    <x v="3"/>
    <s v="Tablet"/>
    <n v="9"/>
    <x v="15"/>
    <n v="0.11"/>
    <n v="1100"/>
  </r>
  <r>
    <x v="0"/>
    <s v="Laptop"/>
    <n v="12"/>
    <x v="16"/>
    <n v="0.09"/>
    <n v="1400"/>
  </r>
  <r>
    <x v="1"/>
    <s v="Phone"/>
    <n v="7"/>
    <x v="17"/>
    <n v="0.06"/>
    <n v="1000"/>
  </r>
  <r>
    <x v="2"/>
    <s v="Tablet"/>
    <n v="11"/>
    <x v="18"/>
    <n v="0.05"/>
    <n v="1300"/>
  </r>
  <r>
    <x v="4"/>
    <s v="Monitor"/>
    <n v="5"/>
    <x v="19"/>
    <n v="7.0000000000000007E-2"/>
    <n v="8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6" cacheId="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B8" firstHeaderRow="1" firstDataRow="1" firstDataCol="1"/>
  <pivotFields count="8">
    <pivotField numFmtId="14" showAll="0"/>
    <pivotField axis="axisRow"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numFmtId="9" showAll="0"/>
    <pivotField showAll="0"/>
  </pivotFields>
  <rowFields count="1">
    <field x="1"/>
  </rowFields>
  <rowItems count="5">
    <i>
      <x v="1"/>
    </i>
    <i>
      <x/>
    </i>
    <i>
      <x v="3"/>
    </i>
    <i>
      <x v="2"/>
    </i>
    <i t="grand">
      <x/>
    </i>
  </rowItems>
  <colItems count="1">
    <i/>
  </colItems>
  <dataFields count="1">
    <dataField name="Sum of Revenue"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1" cacheId="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A8" firstHeaderRow="1" firstDataRow="1" firstDataCol="1"/>
  <pivotFields count="8">
    <pivotField numFmtId="14" showAll="0"/>
    <pivotField showAll="0"/>
    <pivotField axis="axisRow" showAll="0">
      <items count="5">
        <item x="2"/>
        <item x="3"/>
        <item x="1"/>
        <item x="0"/>
        <item t="default"/>
      </items>
    </pivotField>
    <pivotField showAll="0"/>
    <pivotField showAll="0"/>
    <pivotField showAll="0"/>
    <pivotField numFmtId="9" showAll="0"/>
    <pivotField showAll="0"/>
  </pivotFields>
  <rowFields count="1">
    <field x="2"/>
  </rowFields>
  <rowItems count="5">
    <i>
      <x/>
    </i>
    <i>
      <x v="1"/>
    </i>
    <i>
      <x v="2"/>
    </i>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2" cacheId="4"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location ref="A3:B24" firstHeaderRow="1" firstDataRow="1" firstDataCol="1"/>
  <pivotFields count="8">
    <pivotField axis="axisRow" numFmtId="14" showAll="0">
      <items count="21">
        <item x="0"/>
        <item x="1"/>
        <item x="2"/>
        <item x="3"/>
        <item x="4"/>
        <item x="5"/>
        <item x="6"/>
        <item x="7"/>
        <item x="8"/>
        <item x="9"/>
        <item x="10"/>
        <item x="11"/>
        <item x="12"/>
        <item x="13"/>
        <item x="14"/>
        <item x="15"/>
        <item x="16"/>
        <item x="17"/>
        <item x="18"/>
        <item x="19"/>
        <item t="default"/>
      </items>
    </pivotField>
    <pivotField showAll="0"/>
    <pivotField showAll="0"/>
    <pivotField showAll="0"/>
    <pivotField showAll="0"/>
    <pivotField dataField="1" showAll="0"/>
    <pivotField numFmtId="9" showAll="0"/>
    <pivotField showAl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Revenue" fld="5" baseField="0" baseItem="0"/>
  </dataFields>
  <pivotTableStyleInfo name="PivotStyleLight16" showRowHeaders="1" showColHeaders="1" showRowStripes="0" showColStripes="0" showLastColumn="1"/>
  <filters count="1">
    <filter fld="0" type="dateBetween" evalOrder="-1" id="6" name="Date">
      <autoFilter ref="A1">
        <filterColumn colId="0">
          <customFilters and="1">
            <customFilter operator="greaterThanOrEqual" val="45292"/>
            <customFilter operator="lessThanOrEqual" val="453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4" cacheId="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B8" firstHeaderRow="1" firstDataRow="1" firstDataCol="1"/>
  <pivotFields count="8">
    <pivotField numFmtId="14" showAll="0"/>
    <pivotField showAll="0"/>
    <pivotField showAll="0"/>
    <pivotField axis="axisRow" showAll="0">
      <items count="5">
        <item x="0"/>
        <item x="3"/>
        <item x="1"/>
        <item x="2"/>
        <item t="default"/>
      </items>
    </pivotField>
    <pivotField showAll="0"/>
    <pivotField dataField="1" showAll="0">
      <items count="21">
        <item x="8"/>
        <item x="3"/>
        <item x="10"/>
        <item x="2"/>
        <item x="19"/>
        <item x="13"/>
        <item x="5"/>
        <item x="0"/>
        <item x="17"/>
        <item x="15"/>
        <item x="7"/>
        <item x="18"/>
        <item x="1"/>
        <item x="16"/>
        <item x="9"/>
        <item x="12"/>
        <item x="4"/>
        <item x="11"/>
        <item x="14"/>
        <item x="6"/>
        <item t="default"/>
      </items>
    </pivotField>
    <pivotField numFmtId="9" showAll="0"/>
    <pivotField showAll="0"/>
  </pivotFields>
  <rowFields count="1">
    <field x="3"/>
  </rowFields>
  <rowItems count="5">
    <i>
      <x/>
    </i>
    <i>
      <x v="1"/>
    </i>
    <i>
      <x v="2"/>
    </i>
    <i>
      <x v="3"/>
    </i>
    <i t="grand">
      <x/>
    </i>
  </rowItems>
  <colItems count="1">
    <i/>
  </colItems>
  <dataFields count="1">
    <dataField name="Sum of Revenue" fld="5" baseField="0" baseItem="0"/>
  </dataFields>
  <formats count="1">
    <format dxfId="11">
      <pivotArea dataOnly="0" fieldPosition="0">
        <references count="1">
          <reference field="3"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6" cacheId="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B8" firstHeaderRow="1" firstDataRow="1" firstDataCol="1"/>
  <pivotFields count="8">
    <pivotField numFmtId="14" showAll="0"/>
    <pivotField showAll="0"/>
    <pivotField axis="axisRow" showAll="0">
      <items count="5">
        <item x="2"/>
        <item x="3"/>
        <item x="1"/>
        <item x="0"/>
        <item t="default"/>
      </items>
    </pivotField>
    <pivotField showAll="0"/>
    <pivotField showAll="0"/>
    <pivotField showAll="0"/>
    <pivotField numFmtId="9" showAll="0"/>
    <pivotField dataField="1" showAll="0"/>
  </pivotFields>
  <rowFields count="1">
    <field x="2"/>
  </rowFields>
  <rowItems count="5">
    <i>
      <x/>
    </i>
    <i>
      <x v="1"/>
    </i>
    <i>
      <x v="2"/>
    </i>
    <i>
      <x v="3"/>
    </i>
    <i t="grand">
      <x/>
    </i>
  </rowItems>
  <colItems count="1">
    <i/>
  </colItems>
  <dataFields count="1">
    <dataField name="Sum of Profit" fld="7" baseField="2" baseItem="0"/>
  </dataFields>
  <formats count="1">
    <format dxfId="10">
      <pivotArea dataOnly="0" fieldPosition="0">
        <references count="1">
          <reference field="2"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8" cacheId="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B8" firstHeaderRow="1" firstDataRow="1" firstDataCol="1"/>
  <pivotFields count="8">
    <pivotField numFmtId="14" showAll="0"/>
    <pivotField axis="axisRow" showAll="0">
      <items count="5">
        <item x="0"/>
        <item x="2"/>
        <item x="3"/>
        <item x="1"/>
        <item t="default"/>
      </items>
    </pivotField>
    <pivotField showAll="0"/>
    <pivotField showAll="0"/>
    <pivotField showAll="0"/>
    <pivotField showAll="0"/>
    <pivotField dataField="1" numFmtId="9" showAll="0"/>
    <pivotField showAll="0"/>
  </pivotFields>
  <rowFields count="1">
    <field x="1"/>
  </rowFields>
  <rowItems count="5">
    <i>
      <x/>
    </i>
    <i>
      <x v="1"/>
    </i>
    <i>
      <x v="2"/>
    </i>
    <i>
      <x v="3"/>
    </i>
    <i t="grand">
      <x/>
    </i>
  </rowItems>
  <colItems count="1">
    <i/>
  </colItems>
  <dataFields count="1">
    <dataField name="Average of Discount" fld="6" subtotal="average" showDataAs="percentOfCo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20" cacheId="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B5" firstHeaderRow="1" firstDataRow="1" firstDataCol="1"/>
  <pivotFields count="8">
    <pivotField numFmtId="14" showAll="0"/>
    <pivotField showAll="0"/>
    <pivotField showAll="0"/>
    <pivotField axis="axisRow" showAll="0">
      <items count="5">
        <item x="0"/>
        <item h="1" x="3"/>
        <item h="1" x="1"/>
        <item h="1" x="2"/>
        <item t="default"/>
      </items>
    </pivotField>
    <pivotField showAll="0"/>
    <pivotField dataField="1" showAll="0">
      <items count="21">
        <item x="8"/>
        <item x="3"/>
        <item x="10"/>
        <item x="2"/>
        <item x="19"/>
        <item x="13"/>
        <item x="5"/>
        <item x="0"/>
        <item x="17"/>
        <item x="15"/>
        <item x="7"/>
        <item x="18"/>
        <item x="1"/>
        <item x="16"/>
        <item x="9"/>
        <item x="12"/>
        <item x="4"/>
        <item x="11"/>
        <item x="14"/>
        <item x="6"/>
        <item t="default"/>
      </items>
    </pivotField>
    <pivotField numFmtId="9" showAll="0"/>
    <pivotField showAll="0"/>
  </pivotFields>
  <rowFields count="1">
    <field x="3"/>
  </rowFields>
  <rowItems count="2">
    <i>
      <x/>
    </i>
    <i t="grand">
      <x/>
    </i>
  </rowItems>
  <colItems count="1">
    <i/>
  </colItems>
  <dataFields count="1">
    <dataField name="Sum of Revenue"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 cacheId="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D9" firstHeaderRow="0" firstDataRow="1" firstDataCol="1"/>
  <pivotFields count="8">
    <pivotField axis="axisRow" showAll="0" sortType="descending">
      <items count="6">
        <item x="2"/>
        <item x="3"/>
        <item x="1"/>
        <item x="0"/>
        <item x="4"/>
        <item t="default"/>
      </items>
      <autoSortScope>
        <pivotArea dataOnly="0" outline="0" fieldPosition="0">
          <references count="1">
            <reference field="4294967294" count="1" selected="0">
              <x v="2"/>
            </reference>
          </references>
        </pivotArea>
      </autoSortScope>
    </pivotField>
    <pivotField showAll="0"/>
    <pivotField showAll="0"/>
    <pivotField dataField="1" showAll="0">
      <items count="21">
        <item x="8"/>
        <item x="3"/>
        <item x="10"/>
        <item x="2"/>
        <item x="19"/>
        <item x="13"/>
        <item x="5"/>
        <item x="0"/>
        <item x="17"/>
        <item x="15"/>
        <item x="7"/>
        <item x="18"/>
        <item x="1"/>
        <item x="16"/>
        <item x="9"/>
        <item x="12"/>
        <item x="4"/>
        <item x="11"/>
        <item x="14"/>
        <item x="6"/>
        <item t="default"/>
      </items>
    </pivotField>
    <pivotField numFmtId="9" showAll="0"/>
    <pivotField dataField="1" showAll="0"/>
    <pivotField dataField="1" dragToRow="0" dragToCol="0" dragToPage="0" showAll="0" defaultSubtotal="0"/>
    <pivotField dragToRow="0" dragToCol="0" dragToPage="0" showAll="0" defaultSubtotal="0"/>
  </pivotFields>
  <rowFields count="1">
    <field x="0"/>
  </rowFields>
  <rowItems count="6">
    <i>
      <x/>
    </i>
    <i>
      <x v="1"/>
    </i>
    <i>
      <x v="2"/>
    </i>
    <i>
      <x v="4"/>
    </i>
    <i>
      <x v="3"/>
    </i>
    <i t="grand">
      <x/>
    </i>
  </rowItems>
  <colFields count="1">
    <field x="-2"/>
  </colFields>
  <colItems count="3">
    <i>
      <x/>
    </i>
    <i i="1">
      <x v="1"/>
    </i>
    <i i="2">
      <x v="2"/>
    </i>
  </colItems>
  <dataFields count="3">
    <dataField name="Sum of Revenue" fld="3" baseField="0" baseItem="0"/>
    <dataField name="Sum of Profit" fld="5" baseField="0" baseItem="0"/>
    <dataField name="Sum of Profit Margin%"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 cacheId="4"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13">
  <location ref="A3:B5" firstHeaderRow="1" firstDataRow="1" firstDataCol="1"/>
  <pivotFields count="8">
    <pivotField numFmtId="14" showAll="0"/>
    <pivotField showAll="0">
      <items count="5">
        <item h="1" x="0"/>
        <item h="1" x="2"/>
        <item h="1" x="3"/>
        <item x="1"/>
        <item t="default"/>
      </items>
    </pivotField>
    <pivotField showAll="0"/>
    <pivotField axis="axisRow" showAll="0">
      <items count="5">
        <item x="0"/>
        <item x="3"/>
        <item x="1"/>
        <item x="2"/>
        <item t="default"/>
      </items>
    </pivotField>
    <pivotField showAll="0"/>
    <pivotField showAll="0"/>
    <pivotField numFmtId="9" showAll="0"/>
    <pivotField dataField="1" showAll="0"/>
  </pivotFields>
  <rowFields count="1">
    <field x="3"/>
  </rowFields>
  <rowItems count="2">
    <i>
      <x/>
    </i>
    <i>
      <x v="2"/>
    </i>
  </rowItems>
  <colItems count="1">
    <i/>
  </colItems>
  <dataFields count="1">
    <dataField name="Sum of Profit" fld="7" baseField="0" baseItem="0"/>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3" cacheId="4" applyNumberFormats="0" applyBorderFormats="0" applyFontFormats="0" applyPatternFormats="0" applyAlignmentFormats="0" applyWidthHeightFormats="1" dataCaption="Values" updatedVersion="5" minRefreshableVersion="5" useAutoFormatting="1" itemPrintTitles="1" createdVersion="5" indent="0" outline="1" outlineData="1" multipleFieldFilters="0">
  <location ref="A3:C20" firstHeaderRow="1" firstDataRow="1" firstDataCol="0"/>
  <pivotFields count="8">
    <pivotField numFmtId="14" showAll="0"/>
    <pivotField showAll="0"/>
    <pivotField showAll="0"/>
    <pivotField showAll="0"/>
    <pivotField showAll="0"/>
    <pivotField showAll="0"/>
    <pivotField numFmtId="9"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4" cacheId="4"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12">
  <location ref="A3:B7" firstHeaderRow="1" firstDataRow="1" firstDataCol="1"/>
  <pivotFields count="8">
    <pivotField numFmtId="14" showAll="0"/>
    <pivotField showAll="0"/>
    <pivotField axis="axisRow" showAll="0">
      <items count="5">
        <item x="2"/>
        <item x="3"/>
        <item x="1"/>
        <item x="0"/>
        <item t="default"/>
      </items>
    </pivotField>
    <pivotField showAll="0"/>
    <pivotField dataField="1" showAll="0">
      <items count="13">
        <item x="8"/>
        <item x="0"/>
        <item x="3"/>
        <item x="5"/>
        <item x="2"/>
        <item x="7"/>
        <item x="1"/>
        <item x="9"/>
        <item x="4"/>
        <item x="10"/>
        <item x="11"/>
        <item x="6"/>
        <item t="default"/>
      </items>
    </pivotField>
    <pivotField showAll="0">
      <items count="21">
        <item x="8"/>
        <item x="3"/>
        <item x="10"/>
        <item x="2"/>
        <item x="19"/>
        <item x="13"/>
        <item x="5"/>
        <item x="0"/>
        <item x="17"/>
        <item x="15"/>
        <item x="7"/>
        <item x="18"/>
        <item x="1"/>
        <item x="16"/>
        <item x="9"/>
        <item x="12"/>
        <item x="4"/>
        <item x="11"/>
        <item x="14"/>
        <item x="6"/>
        <item t="default"/>
      </items>
    </pivotField>
    <pivotField numFmtId="9" showAll="0"/>
    <pivotField showAll="0"/>
  </pivotFields>
  <rowFields count="1">
    <field x="2"/>
  </rowFields>
  <rowItems count="4">
    <i>
      <x/>
    </i>
    <i>
      <x v="1"/>
    </i>
    <i>
      <x v="2"/>
    </i>
    <i>
      <x v="3"/>
    </i>
  </rowItems>
  <colItems count="1">
    <i/>
  </colItems>
  <dataFields count="1">
    <dataField name="Sum of Units Sold" fld="4" baseField="0" baseItem="0"/>
  </dataFields>
  <chartFormats count="15">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2" count="1" selected="0">
            <x v="0"/>
          </reference>
        </references>
      </pivotArea>
    </chartFormat>
    <chartFormat chart="3" format="8">
      <pivotArea type="data" outline="0" fieldPosition="0">
        <references count="2">
          <reference field="4294967294" count="1" selected="0">
            <x v="0"/>
          </reference>
          <reference field="2" count="1" selected="0">
            <x v="1"/>
          </reference>
        </references>
      </pivotArea>
    </chartFormat>
    <chartFormat chart="3" format="9">
      <pivotArea type="data" outline="0" fieldPosition="0">
        <references count="2">
          <reference field="4294967294" count="1" selected="0">
            <x v="0"/>
          </reference>
          <reference field="2" count="1" selected="0">
            <x v="2"/>
          </reference>
        </references>
      </pivotArea>
    </chartFormat>
    <chartFormat chart="3" format="10">
      <pivotArea type="data" outline="0" fieldPosition="0">
        <references count="2">
          <reference field="4294967294" count="1" selected="0">
            <x v="0"/>
          </reference>
          <reference field="2" count="1" selected="0">
            <x v="3"/>
          </reference>
        </references>
      </pivotArea>
    </chartFormat>
    <chartFormat chart="5" format="16" series="1">
      <pivotArea type="data" outline="0" fieldPosition="0">
        <references count="1">
          <reference field="4294967294" count="1" selected="0">
            <x v="0"/>
          </reference>
        </references>
      </pivotArea>
    </chartFormat>
    <chartFormat chart="5" format="17">
      <pivotArea type="data" outline="0" fieldPosition="0">
        <references count="2">
          <reference field="4294967294" count="1" selected="0">
            <x v="0"/>
          </reference>
          <reference field="2" count="1" selected="0">
            <x v="0"/>
          </reference>
        </references>
      </pivotArea>
    </chartFormat>
    <chartFormat chart="5" format="18">
      <pivotArea type="data" outline="0" fieldPosition="0">
        <references count="2">
          <reference field="4294967294" count="1" selected="0">
            <x v="0"/>
          </reference>
          <reference field="2" count="1" selected="0">
            <x v="1"/>
          </reference>
        </references>
      </pivotArea>
    </chartFormat>
    <chartFormat chart="5" format="19">
      <pivotArea type="data" outline="0" fieldPosition="0">
        <references count="2">
          <reference field="4294967294" count="1" selected="0">
            <x v="0"/>
          </reference>
          <reference field="2" count="1" selected="0">
            <x v="2"/>
          </reference>
        </references>
      </pivotArea>
    </chartFormat>
    <chartFormat chart="5" format="20">
      <pivotArea type="data" outline="0" fieldPosition="0">
        <references count="2">
          <reference field="4294967294" count="1" selected="0">
            <x v="0"/>
          </reference>
          <reference field="2" count="1" selected="0">
            <x v="3"/>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5" cacheId="4"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12">
  <location ref="A3:B7" firstHeaderRow="1" firstDataRow="1" firstDataCol="1"/>
  <pivotFields count="8">
    <pivotField numFmtId="14" showAll="0"/>
    <pivotField showAll="0"/>
    <pivotField showAll="0"/>
    <pivotField axis="axisRow" showAll="0">
      <items count="5">
        <item x="0"/>
        <item x="3"/>
        <item x="1"/>
        <item x="2"/>
        <item t="default"/>
      </items>
    </pivotField>
    <pivotField showAll="0"/>
    <pivotField showAll="0"/>
    <pivotField dataField="1" numFmtId="9" showAll="0">
      <items count="11">
        <item x="8"/>
        <item x="6"/>
        <item x="1"/>
        <item x="5"/>
        <item x="4"/>
        <item x="2"/>
        <item x="7"/>
        <item x="0"/>
        <item x="9"/>
        <item x="3"/>
        <item t="default"/>
      </items>
    </pivotField>
    <pivotField showAll="0"/>
  </pivotFields>
  <rowFields count="1">
    <field x="3"/>
  </rowFields>
  <rowItems count="4">
    <i>
      <x/>
    </i>
    <i>
      <x v="1"/>
    </i>
    <i>
      <x v="2"/>
    </i>
    <i>
      <x v="3"/>
    </i>
  </rowItems>
  <colItems count="1">
    <i/>
  </colItems>
  <dataFields count="1">
    <dataField name="Sum of Discount" fld="6" showDataAs="percentOfCol" baseField="0" baseItem="0" numFmtId="10"/>
  </dataFields>
  <formats count="2">
    <format dxfId="8">
      <pivotArea collapsedLevelsAreSubtotals="1" fieldPosition="0">
        <references count="1">
          <reference field="3" count="0"/>
        </references>
      </pivotArea>
    </format>
    <format dxfId="7">
      <pivotArea grandRow="1"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15" cacheId="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P53:Q58" firstHeaderRow="1" firstDataRow="1" firstDataCol="1"/>
  <pivotFields count="8">
    <pivotField numFmtId="14" showAll="0"/>
    <pivotField showAll="0"/>
    <pivotField showAll="0"/>
    <pivotField axis="axisRow" showAll="0">
      <items count="5">
        <item x="0"/>
        <item x="3"/>
        <item x="1"/>
        <item x="2"/>
        <item t="default"/>
      </items>
    </pivotField>
    <pivotField showAll="0"/>
    <pivotField dataField="1" showAll="0">
      <items count="21">
        <item x="8"/>
        <item x="3"/>
        <item x="10"/>
        <item x="2"/>
        <item x="19"/>
        <item x="13"/>
        <item x="5"/>
        <item x="0"/>
        <item x="17"/>
        <item x="15"/>
        <item x="7"/>
        <item x="18"/>
        <item x="1"/>
        <item x="16"/>
        <item x="9"/>
        <item x="12"/>
        <item x="4"/>
        <item x="11"/>
        <item x="14"/>
        <item x="6"/>
        <item t="default"/>
      </items>
    </pivotField>
    <pivotField numFmtId="9" showAll="0"/>
    <pivotField showAll="0"/>
  </pivotFields>
  <rowFields count="1">
    <field x="3"/>
  </rowFields>
  <rowItems count="5">
    <i>
      <x/>
    </i>
    <i>
      <x v="1"/>
    </i>
    <i>
      <x v="2"/>
    </i>
    <i>
      <x v="3"/>
    </i>
    <i t="grand">
      <x/>
    </i>
  </rowItems>
  <colItems count="1">
    <i/>
  </colItems>
  <dataFields count="1">
    <dataField name="Sum of Revenue" fld="5" baseField="0" baseItem="0"/>
  </dataFields>
  <formats count="1">
    <format dxfId="0">
      <pivotArea dataOnly="0" fieldPosition="0">
        <references count="1">
          <reference field="3"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PivotTable7" cacheId="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P5:Q10" firstHeaderRow="1" firstDataRow="1" firstDataCol="1"/>
  <pivotFields count="8">
    <pivotField numFmtId="14" showAll="0"/>
    <pivotField axis="axisRow"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numFmtId="9" showAll="0"/>
    <pivotField showAll="0"/>
  </pivotFields>
  <rowFields count="1">
    <field x="1"/>
  </rowFields>
  <rowItems count="5">
    <i>
      <x v="1"/>
    </i>
    <i>
      <x/>
    </i>
    <i>
      <x v="3"/>
    </i>
    <i>
      <x v="2"/>
    </i>
    <i t="grand">
      <x/>
    </i>
  </rowItems>
  <colItems count="1">
    <i/>
  </colItems>
  <dataFields count="1">
    <dataField name="Sum of Revenue" fld="5" baseField="0" baseItem="0"/>
  </dataFields>
  <formats count="4">
    <format dxfId="4">
      <pivotArea field="1" type="button" dataOnly="0" labelOnly="1" outline="0" axis="axisRow" fieldPosition="0"/>
    </format>
    <format dxfId="3">
      <pivotArea dataOnly="0" labelOnly="1" outline="0" axis="axisValues" fieldPosition="0"/>
    </format>
    <format dxfId="2">
      <pivotArea grandRow="1" outline="0" collapsedLevelsAreSubtotals="1" fieldPosition="0"/>
    </format>
    <format dxfId="1">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5.xml><?xml version="1.0" encoding="utf-8"?>
<pivotTableDefinition xmlns="http://schemas.openxmlformats.org/spreadsheetml/2006/main" name="PivotTable21" cacheId="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Q88:R90" firstHeaderRow="1" firstDataRow="1" firstDataCol="1"/>
  <pivotFields count="8">
    <pivotField numFmtId="14" showAll="0"/>
    <pivotField showAll="0"/>
    <pivotField showAll="0"/>
    <pivotField axis="axisRow" showAll="0">
      <items count="5">
        <item x="0"/>
        <item h="1" x="3"/>
        <item h="1" x="1"/>
        <item h="1" x="2"/>
        <item t="default"/>
      </items>
    </pivotField>
    <pivotField showAll="0"/>
    <pivotField dataField="1" showAll="0">
      <items count="21">
        <item x="8"/>
        <item x="3"/>
        <item x="10"/>
        <item x="2"/>
        <item x="19"/>
        <item x="13"/>
        <item x="5"/>
        <item x="0"/>
        <item x="17"/>
        <item x="15"/>
        <item x="7"/>
        <item x="18"/>
        <item x="1"/>
        <item x="16"/>
        <item x="9"/>
        <item x="12"/>
        <item x="4"/>
        <item x="11"/>
        <item x="14"/>
        <item x="6"/>
        <item t="default"/>
      </items>
    </pivotField>
    <pivotField numFmtId="9" showAll="0"/>
    <pivotField showAll="0"/>
  </pivotFields>
  <rowFields count="1">
    <field x="3"/>
  </rowFields>
  <rowItems count="2">
    <i>
      <x/>
    </i>
    <i t="grand">
      <x/>
    </i>
  </rowItems>
  <colItems count="1">
    <i/>
  </colItems>
  <dataFields count="1">
    <dataField name="Sum of Revenue"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6.xml><?xml version="1.0" encoding="utf-8"?>
<pivotTableDefinition xmlns="http://schemas.openxmlformats.org/spreadsheetml/2006/main" name="PivotTable19" cacheId="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Q76:R81" firstHeaderRow="1" firstDataRow="1" firstDataCol="1"/>
  <pivotFields count="8">
    <pivotField numFmtId="14" showAll="0"/>
    <pivotField axis="axisRow" showAll="0">
      <items count="5">
        <item x="0"/>
        <item x="2"/>
        <item x="3"/>
        <item x="1"/>
        <item t="default"/>
      </items>
    </pivotField>
    <pivotField showAll="0"/>
    <pivotField showAll="0"/>
    <pivotField showAll="0"/>
    <pivotField showAll="0"/>
    <pivotField dataField="1" numFmtId="9" showAll="0"/>
    <pivotField showAll="0"/>
  </pivotFields>
  <rowFields count="1">
    <field x="1"/>
  </rowFields>
  <rowItems count="5">
    <i>
      <x/>
    </i>
    <i>
      <x v="1"/>
    </i>
    <i>
      <x v="2"/>
    </i>
    <i>
      <x v="3"/>
    </i>
    <i t="grand">
      <x/>
    </i>
  </rowItems>
  <colItems count="1">
    <i/>
  </colItems>
  <dataFields count="1">
    <dataField name="Average of Discount" fld="6" subtotal="average" showDataAs="percentOfCo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7.xml><?xml version="1.0" encoding="utf-8"?>
<pivotTableDefinition xmlns="http://schemas.openxmlformats.org/spreadsheetml/2006/main" name="PivotTable17" cacheId="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Q64:R69" firstHeaderRow="1" firstDataRow="1" firstDataCol="1"/>
  <pivotFields count="8">
    <pivotField numFmtId="14" showAll="0"/>
    <pivotField showAll="0"/>
    <pivotField axis="axisRow" showAll="0">
      <items count="5">
        <item x="2"/>
        <item x="3"/>
        <item x="1"/>
        <item x="0"/>
        <item t="default"/>
      </items>
    </pivotField>
    <pivotField showAll="0"/>
    <pivotField showAll="0"/>
    <pivotField showAll="0"/>
    <pivotField numFmtId="9" showAll="0"/>
    <pivotField dataField="1" showAll="0"/>
  </pivotFields>
  <rowFields count="1">
    <field x="2"/>
  </rowFields>
  <rowItems count="5">
    <i>
      <x/>
    </i>
    <i>
      <x v="1"/>
    </i>
    <i>
      <x v="2"/>
    </i>
    <i>
      <x v="3"/>
    </i>
    <i t="grand">
      <x/>
    </i>
  </rowItems>
  <colItems count="1">
    <i/>
  </colItems>
  <dataFields count="1">
    <dataField name="Sum of Profit" fld="7" baseField="2" baseItem="0"/>
  </dataFields>
  <formats count="1">
    <format dxfId="5">
      <pivotArea dataOnly="0" fieldPosition="0">
        <references count="1">
          <reference field="2"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8.xml><?xml version="1.0" encoding="utf-8"?>
<pivotTableDefinition xmlns="http://schemas.openxmlformats.org/spreadsheetml/2006/main" name="PivotTable2" cacheId="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Q111:T117" firstHeaderRow="0" firstDataRow="1" firstDataCol="1"/>
  <pivotFields count="8">
    <pivotField axis="axisRow" showAll="0" sortType="descending">
      <items count="6">
        <item x="2"/>
        <item x="3"/>
        <item x="1"/>
        <item x="0"/>
        <item x="4"/>
        <item t="default"/>
      </items>
      <autoSortScope>
        <pivotArea dataOnly="0" outline="0" fieldPosition="0">
          <references count="1">
            <reference field="4294967294" count="1" selected="0">
              <x v="2"/>
            </reference>
          </references>
        </pivotArea>
      </autoSortScope>
    </pivotField>
    <pivotField showAll="0"/>
    <pivotField showAll="0"/>
    <pivotField dataField="1" showAll="0">
      <items count="21">
        <item x="8"/>
        <item x="3"/>
        <item x="10"/>
        <item x="2"/>
        <item x="19"/>
        <item x="13"/>
        <item x="5"/>
        <item x="0"/>
        <item x="17"/>
        <item x="15"/>
        <item x="7"/>
        <item x="18"/>
        <item x="1"/>
        <item x="16"/>
        <item x="9"/>
        <item x="12"/>
        <item x="4"/>
        <item x="11"/>
        <item x="14"/>
        <item x="6"/>
        <item t="default"/>
      </items>
    </pivotField>
    <pivotField numFmtId="9" showAll="0"/>
    <pivotField dataField="1" showAll="0"/>
    <pivotField dragToRow="0" dragToCol="0" dragToPage="0" showAll="0" defaultSubtotal="0"/>
    <pivotField dataField="1" dragToRow="0" dragToCol="0" dragToPage="0" showAll="0" defaultSubtotal="0"/>
  </pivotFields>
  <rowFields count="1">
    <field x="0"/>
  </rowFields>
  <rowItems count="6">
    <i>
      <x/>
    </i>
    <i>
      <x v="1"/>
    </i>
    <i>
      <x v="2"/>
    </i>
    <i>
      <x v="4"/>
    </i>
    <i>
      <x v="3"/>
    </i>
    <i t="grand">
      <x/>
    </i>
  </rowItems>
  <colFields count="1">
    <field x="-2"/>
  </colFields>
  <colItems count="3">
    <i>
      <x/>
    </i>
    <i i="1">
      <x v="1"/>
    </i>
    <i i="2">
      <x v="2"/>
    </i>
  </colItems>
  <dataFields count="3">
    <dataField name="Sum of Revenue" fld="3" baseField="0" baseItem="0"/>
    <dataField name="Sum of Profit" fld="5" baseField="0" baseItem="0"/>
    <dataField name="Sum of  Profit Margin %"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alesperson" sourceName="Salesperson">
  <pivotTables>
    <pivotTable tabId="6" name="PivotTable11"/>
  </pivotTables>
  <data>
    <tabular pivotCacheId="1">
      <items count="4">
        <i x="2" s="1"/>
        <i x="3"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11" name="PivotTable20"/>
    <pivotTable tabId="1" name="PivotTable21"/>
  </pivotTables>
  <data>
    <tabular pivotCacheId="1">
      <items count="4">
        <i x="0" s="1"/>
        <i x="3"/>
        <i x="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7" name="PivotTable1"/>
  </pivotTables>
  <data>
    <tabular pivotCacheId="1">
      <items count="4">
        <i x="0"/>
        <i x="2"/>
        <i x="3"/>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alesperson" cache="Slicer_Salesperson" caption="Salesperson"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Product" cache="Slicer_Product" caption="Product" rowHeight="234950"/>
</slicers>
</file>

<file path=xl/slicers/slicer3.xml><?xml version="1.0" encoding="utf-8"?>
<slicers xmlns="http://schemas.microsoft.com/office/spreadsheetml/2009/9/main" xmlns:mc="http://schemas.openxmlformats.org/markup-compatibility/2006" xmlns:x="http://schemas.openxmlformats.org/spreadsheetml/2006/main" mc:Ignorable="x">
  <slicer name="Region 1" cache="Slicer_Region" caption="Region" columnCount="4" rowHeight="234950"/>
</slicers>
</file>

<file path=xl/slicers/slicer4.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34950"/>
</slicers>
</file>

<file path=xl/slicers/slicer5.xml><?xml version="1.0" encoding="utf-8"?>
<slicers xmlns="http://schemas.microsoft.com/office/spreadsheetml/2009/9/main" xmlns:mc="http://schemas.openxmlformats.org/markup-compatibility/2006" xmlns:x="http://schemas.openxmlformats.org/spreadsheetml/2006/main" mc:Ignorable="x">
  <slicer name="Salesperson 1" cache="Slicer_Salesperson" caption="Salesperson" rowHeight="234950"/>
  <slicer name="Product 1" cache="Slicer_Product" caption="Product" rowHeight="234950"/>
</slicers>
</file>

<file path=xl/slicers/slicer6.xml><?xml version="1.0" encoding="utf-8"?>
<slicers xmlns="http://schemas.microsoft.com/office/spreadsheetml/2009/9/main" xmlns:mc="http://schemas.openxmlformats.org/markup-compatibility/2006" xmlns:x="http://schemas.openxmlformats.org/spreadsheetml/2006/main" mc:Ignorable="x">
  <slicer name="Region 2" cache="Slicer_Region" caption="Region" columnCount="4" rowHeight="234950"/>
</slicers>
</file>

<file path=xl/tables/table1.xml><?xml version="1.0" encoding="utf-8"?>
<table xmlns="http://schemas.openxmlformats.org/spreadsheetml/2006/main" id="1" name="Table1" displayName="Table1" ref="A1:H6" totalsRowShown="0">
  <autoFilter ref="A1:H6"/>
  <tableColumns count="8">
    <tableColumn id="1" name="Date" dataDxfId="9"/>
    <tableColumn id="2" name="Region"/>
    <tableColumn id="3" name="Salesperson"/>
    <tableColumn id="4" name="Product"/>
    <tableColumn id="5" name="Units Sold"/>
    <tableColumn id="6" name="Revenue"/>
    <tableColumn id="7" name="Discount"/>
    <tableColumn id="8"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NativeTimeline_Date" sourceName="Date">
  <pivotTables>
    <pivotTable tabId="7" name="PivotTable12"/>
  </pivotTables>
  <state minimalRefreshVersion="6" lastRefreshVersion="6" pivotCacheId="1" filterType="dateBetween">
    <selection startDate="2024-01-01T00:00:00" endDate="2024-01-31T00:00:00"/>
    <bounds startDate="2024-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name="NativeTimeline_Date1" sourceName="Date">
  <pivotTables>
    <pivotTable tabId="29" name="PivotTable3"/>
  </pivotTables>
  <state minimalRefreshVersion="6" lastRefreshVersion="6" pivotCacheId="1" filterType="unknown">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Date" cache="NativeTimeline_Date" caption="Date" level="2" selectionLevel="2" scrollPosition="2024-01-01T00:00:00"/>
</timelines>
</file>

<file path=xl/timelines/timeline2.xml><?xml version="1.0" encoding="utf-8"?>
<timelines xmlns="http://schemas.microsoft.com/office/spreadsheetml/2010/11/main" xmlns:mc="http://schemas.openxmlformats.org/markup-compatibility/2006" xmlns:x="http://schemas.openxmlformats.org/spreadsheetml/2006/main" mc:Ignorable="x">
  <timeline name="Date 3" cache="NativeTimeline_Date1" caption="Date" level="2" selectionLevel="2" scrollPosition="2024-06-06T00:00:00" style="TimeSlicerStyleLight6"/>
</timelines>
</file>

<file path=xl/timelines/timeline3.xml><?xml version="1.0" encoding="utf-8"?>
<timelines xmlns="http://schemas.microsoft.com/office/spreadsheetml/2010/11/main" xmlns:mc="http://schemas.openxmlformats.org/markup-compatibility/2006" xmlns:x="http://schemas.openxmlformats.org/spreadsheetml/2006/main" mc:Ignorable="x">
  <timeline name="Date 2" cache="NativeTimeline_Date1" caption="Date" level="2" selectionLevel="2" scrollPosition="2024-06-06T00:00:00" style="TimeSlicerStyleLight6"/>
</timelines>
</file>

<file path=xl/timelines/timeline4.xml><?xml version="1.0" encoding="utf-8"?>
<timelines xmlns="http://schemas.microsoft.com/office/spreadsheetml/2010/11/main" xmlns:mc="http://schemas.openxmlformats.org/markup-compatibility/2006" xmlns:x="http://schemas.openxmlformats.org/spreadsheetml/2006/main" mc:Ignorable="x">
  <timeline name="Date 1" cache="NativeTimeline_Date" caption="Date" level="2" selectionLevel="2" scrollPosition="2024-01-01T00:00:00"/>
</timelines>
</file>

<file path=xl/timelines/timeline5.xml><?xml version="1.0" encoding="utf-8"?>
<timelines xmlns="http://schemas.microsoft.com/office/spreadsheetml/2010/11/main" xmlns:mc="http://schemas.openxmlformats.org/markup-compatibility/2006" xmlns:x="http://schemas.openxmlformats.org/spreadsheetml/2006/main" mc:Ignorable="x">
  <timeline name="Date 4" cache="NativeTimeline_Date1" caption="Date" level="2" selectionLevel="2" scrollPosition="2024-06-06T00:00:00" style="TimeSlicerStyleLight6"/>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3.xml"/><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3" Type="http://schemas.microsoft.com/office/2011/relationships/timeline" Target="../timelines/timeline3.xml"/><Relationship Id="rId2" Type="http://schemas.openxmlformats.org/officeDocument/2006/relationships/drawing" Target="../drawings/drawing6.xml"/><Relationship Id="rId1"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2.xml"/></Relationships>
</file>

<file path=xl/worksheets/_rels/sheet15.xml.rels><?xml version="1.0" encoding="UTF-8" standalone="yes"?>
<Relationships xmlns="http://schemas.openxmlformats.org/package/2006/relationships"><Relationship Id="rId8" Type="http://schemas.openxmlformats.org/officeDocument/2006/relationships/drawing" Target="../drawings/drawing9.xml"/><Relationship Id="rId3" Type="http://schemas.openxmlformats.org/officeDocument/2006/relationships/pivotTable" Target="../pivotTables/pivotTable15.xml"/><Relationship Id="rId7" Type="http://schemas.openxmlformats.org/officeDocument/2006/relationships/printerSettings" Target="../printerSettings/printerSettings1.bin"/><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openxmlformats.org/officeDocument/2006/relationships/pivotTable" Target="../pivotTables/pivotTable18.xml"/><Relationship Id="rId5" Type="http://schemas.openxmlformats.org/officeDocument/2006/relationships/pivotTable" Target="../pivotTables/pivotTable17.xml"/><Relationship Id="rId10" Type="http://schemas.microsoft.com/office/2011/relationships/timeline" Target="../timelines/timeline4.xml"/><Relationship Id="rId4" Type="http://schemas.openxmlformats.org/officeDocument/2006/relationships/pivotTable" Target="../pivotTables/pivotTable16.xml"/><Relationship Id="rId9" Type="http://schemas.microsoft.com/office/2007/relationships/slicer" Target="../slicers/slicer5.xml"/></Relationships>
</file>

<file path=xl/worksheets/_rels/sheet16.xml.rels><?xml version="1.0" encoding="UTF-8" standalone="yes"?>
<Relationships xmlns="http://schemas.openxmlformats.org/package/2006/relationships"><Relationship Id="rId3" Type="http://schemas.microsoft.com/office/2011/relationships/timeline" Target="../timelines/timeline5.xml"/><Relationship Id="rId2" Type="http://schemas.microsoft.com/office/2007/relationships/slicer" Target="../slicers/slicer6.xml"/><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D28" sqref="D28"/>
    </sheetView>
  </sheetViews>
  <sheetFormatPr defaultRowHeight="14.4" x14ac:dyDescent="0.3"/>
  <cols>
    <col min="1" max="1" width="12.5546875" bestFit="1" customWidth="1"/>
    <col min="2" max="2" width="14.88671875" bestFit="1" customWidth="1"/>
  </cols>
  <sheetData>
    <row r="3" spans="1:2" x14ac:dyDescent="0.3">
      <c r="A3" s="6" t="s">
        <v>20</v>
      </c>
      <c r="B3" t="s">
        <v>22</v>
      </c>
    </row>
    <row r="4" spans="1:2" x14ac:dyDescent="0.3">
      <c r="A4" s="7" t="s">
        <v>14</v>
      </c>
      <c r="B4" s="8">
        <v>34800</v>
      </c>
    </row>
    <row r="5" spans="1:2" x14ac:dyDescent="0.3">
      <c r="A5" s="7" t="s">
        <v>8</v>
      </c>
      <c r="B5" s="8">
        <v>31700</v>
      </c>
    </row>
    <row r="6" spans="1:2" x14ac:dyDescent="0.3">
      <c r="A6" s="7" t="s">
        <v>11</v>
      </c>
      <c r="B6" s="8">
        <v>29600</v>
      </c>
    </row>
    <row r="7" spans="1:2" x14ac:dyDescent="0.3">
      <c r="A7" s="7" t="s">
        <v>17</v>
      </c>
      <c r="B7" s="8">
        <v>28300</v>
      </c>
    </row>
    <row r="8" spans="1:2" x14ac:dyDescent="0.3">
      <c r="A8" s="7" t="s">
        <v>21</v>
      </c>
      <c r="B8" s="8">
        <v>124400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8"/>
  <sheetViews>
    <sheetView workbookViewId="0">
      <selection activeCell="A3" sqref="A3:A8"/>
    </sheetView>
  </sheetViews>
  <sheetFormatPr defaultRowHeight="14.4" x14ac:dyDescent="0.3"/>
  <cols>
    <col min="1" max="1" width="12.5546875" bestFit="1" customWidth="1"/>
  </cols>
  <sheetData>
    <row r="3" spans="1:1" x14ac:dyDescent="0.3">
      <c r="A3" s="6" t="s">
        <v>20</v>
      </c>
    </row>
    <row r="4" spans="1:1" x14ac:dyDescent="0.3">
      <c r="A4" s="7" t="s">
        <v>15</v>
      </c>
    </row>
    <row r="5" spans="1:1" x14ac:dyDescent="0.3">
      <c r="A5" s="7" t="s">
        <v>18</v>
      </c>
    </row>
    <row r="6" spans="1:1" x14ac:dyDescent="0.3">
      <c r="A6" s="7" t="s">
        <v>12</v>
      </c>
    </row>
    <row r="7" spans="1:1" x14ac:dyDescent="0.3">
      <c r="A7" s="7" t="s">
        <v>9</v>
      </c>
    </row>
    <row r="8" spans="1:1" x14ac:dyDescent="0.3">
      <c r="A8" s="7" t="s">
        <v>21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4"/>
  <sheetViews>
    <sheetView workbookViewId="0">
      <selection activeCell="B3" sqref="B3:B24"/>
    </sheetView>
  </sheetViews>
  <sheetFormatPr defaultRowHeight="14.4" x14ac:dyDescent="0.3"/>
  <cols>
    <col min="1" max="1" width="12.5546875" bestFit="1" customWidth="1"/>
    <col min="2" max="2" width="14.88671875" bestFit="1" customWidth="1"/>
  </cols>
  <sheetData>
    <row r="3" spans="1:2" x14ac:dyDescent="0.3">
      <c r="A3" s="6" t="s">
        <v>20</v>
      </c>
      <c r="B3" t="s">
        <v>22</v>
      </c>
    </row>
    <row r="4" spans="1:2" x14ac:dyDescent="0.3">
      <c r="A4" s="16">
        <v>45292</v>
      </c>
      <c r="B4" s="8">
        <v>5000</v>
      </c>
    </row>
    <row r="5" spans="1:2" x14ac:dyDescent="0.3">
      <c r="A5" s="16">
        <v>45293</v>
      </c>
      <c r="B5" s="8">
        <v>7000</v>
      </c>
    </row>
    <row r="6" spans="1:2" x14ac:dyDescent="0.3">
      <c r="A6" s="16">
        <v>45294</v>
      </c>
      <c r="B6" s="8">
        <v>4000</v>
      </c>
    </row>
    <row r="7" spans="1:2" x14ac:dyDescent="0.3">
      <c r="A7" s="16">
        <v>45295</v>
      </c>
      <c r="B7" s="8">
        <v>3000</v>
      </c>
    </row>
    <row r="8" spans="1:2" x14ac:dyDescent="0.3">
      <c r="A8" s="16">
        <v>45296</v>
      </c>
      <c r="B8" s="8">
        <v>8400</v>
      </c>
    </row>
    <row r="9" spans="1:2" x14ac:dyDescent="0.3">
      <c r="A9" s="16">
        <v>45297</v>
      </c>
      <c r="B9" s="8">
        <v>4900</v>
      </c>
    </row>
    <row r="10" spans="1:2" x14ac:dyDescent="0.3">
      <c r="A10" s="16">
        <v>45298</v>
      </c>
      <c r="B10" s="8">
        <v>10500</v>
      </c>
    </row>
    <row r="11" spans="1:2" x14ac:dyDescent="0.3">
      <c r="A11" s="16">
        <v>45299</v>
      </c>
      <c r="B11" s="8">
        <v>6200</v>
      </c>
    </row>
    <row r="12" spans="1:2" x14ac:dyDescent="0.3">
      <c r="A12" s="16">
        <v>45300</v>
      </c>
      <c r="B12" s="8">
        <v>2800</v>
      </c>
    </row>
    <row r="13" spans="1:2" x14ac:dyDescent="0.3">
      <c r="A13" s="16">
        <v>45301</v>
      </c>
      <c r="B13" s="8">
        <v>7700</v>
      </c>
    </row>
    <row r="14" spans="1:2" x14ac:dyDescent="0.3">
      <c r="A14" s="16">
        <v>45302</v>
      </c>
      <c r="B14" s="8">
        <v>3600</v>
      </c>
    </row>
    <row r="15" spans="1:2" x14ac:dyDescent="0.3">
      <c r="A15" s="16">
        <v>45303</v>
      </c>
      <c r="B15" s="8">
        <v>9100</v>
      </c>
    </row>
    <row r="16" spans="1:2" x14ac:dyDescent="0.3">
      <c r="A16" s="16">
        <v>45304</v>
      </c>
      <c r="B16" s="8">
        <v>8000</v>
      </c>
    </row>
    <row r="17" spans="1:2" x14ac:dyDescent="0.3">
      <c r="A17" s="16">
        <v>45305</v>
      </c>
      <c r="B17" s="8">
        <v>4800</v>
      </c>
    </row>
    <row r="18" spans="1:2" x14ac:dyDescent="0.3">
      <c r="A18" s="16">
        <v>45306</v>
      </c>
      <c r="B18" s="8">
        <v>9900</v>
      </c>
    </row>
    <row r="19" spans="1:2" x14ac:dyDescent="0.3">
      <c r="A19" s="16">
        <v>45307</v>
      </c>
      <c r="B19" s="8">
        <v>5700</v>
      </c>
    </row>
    <row r="20" spans="1:2" x14ac:dyDescent="0.3">
      <c r="A20" s="16">
        <v>45308</v>
      </c>
      <c r="B20" s="8">
        <v>7500</v>
      </c>
    </row>
    <row r="21" spans="1:2" x14ac:dyDescent="0.3">
      <c r="A21" s="16">
        <v>45309</v>
      </c>
      <c r="B21" s="8">
        <v>5200</v>
      </c>
    </row>
    <row r="22" spans="1:2" x14ac:dyDescent="0.3">
      <c r="A22" s="16">
        <v>45310</v>
      </c>
      <c r="B22" s="8">
        <v>6800</v>
      </c>
    </row>
    <row r="23" spans="1:2" x14ac:dyDescent="0.3">
      <c r="A23" s="16">
        <v>45311</v>
      </c>
      <c r="B23" s="8">
        <v>4300</v>
      </c>
    </row>
    <row r="24" spans="1:2" x14ac:dyDescent="0.3">
      <c r="A24" s="16" t="s">
        <v>21</v>
      </c>
      <c r="B24" s="8">
        <v>124400</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A3" sqref="A3:B8"/>
    </sheetView>
  </sheetViews>
  <sheetFormatPr defaultRowHeight="14.4" x14ac:dyDescent="0.3"/>
  <cols>
    <col min="1" max="1" width="12.5546875" customWidth="1"/>
    <col min="2" max="2" width="14.88671875" customWidth="1"/>
  </cols>
  <sheetData>
    <row r="3" spans="1:2" x14ac:dyDescent="0.3">
      <c r="A3" s="6" t="s">
        <v>20</v>
      </c>
      <c r="B3" t="s">
        <v>22</v>
      </c>
    </row>
    <row r="4" spans="1:2" x14ac:dyDescent="0.3">
      <c r="A4" s="7" t="s">
        <v>10</v>
      </c>
      <c r="B4" s="8">
        <v>25000</v>
      </c>
    </row>
    <row r="5" spans="1:2" x14ac:dyDescent="0.3">
      <c r="A5" s="17" t="s">
        <v>19</v>
      </c>
      <c r="B5" s="18">
        <v>36800</v>
      </c>
    </row>
    <row r="6" spans="1:2" x14ac:dyDescent="0.3">
      <c r="A6" s="7" t="s">
        <v>13</v>
      </c>
      <c r="B6" s="8">
        <v>36300</v>
      </c>
    </row>
    <row r="7" spans="1:2" x14ac:dyDescent="0.3">
      <c r="A7" s="7" t="s">
        <v>16</v>
      </c>
      <c r="B7" s="8">
        <v>26300</v>
      </c>
    </row>
    <row r="8" spans="1:2" x14ac:dyDescent="0.3">
      <c r="A8" s="7" t="s">
        <v>21</v>
      </c>
      <c r="B8" s="8">
        <v>124400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A3" sqref="A3:B9"/>
    </sheetView>
  </sheetViews>
  <sheetFormatPr defaultRowHeight="14.4" x14ac:dyDescent="0.3"/>
  <cols>
    <col min="1" max="1" width="12.5546875" bestFit="1" customWidth="1"/>
    <col min="2" max="2" width="12.109375" bestFit="1" customWidth="1"/>
  </cols>
  <sheetData>
    <row r="3" spans="1:2" x14ac:dyDescent="0.3">
      <c r="A3" s="6" t="s">
        <v>20</v>
      </c>
      <c r="B3" t="s">
        <v>28</v>
      </c>
    </row>
    <row r="4" spans="1:2" x14ac:dyDescent="0.3">
      <c r="A4" s="19" t="s">
        <v>15</v>
      </c>
      <c r="B4" s="20">
        <v>7100</v>
      </c>
    </row>
    <row r="5" spans="1:2" x14ac:dyDescent="0.3">
      <c r="A5" s="7" t="s">
        <v>18</v>
      </c>
      <c r="B5" s="8">
        <v>5650</v>
      </c>
    </row>
    <row r="6" spans="1:2" x14ac:dyDescent="0.3">
      <c r="A6" s="7" t="s">
        <v>12</v>
      </c>
      <c r="B6" s="8">
        <v>5900</v>
      </c>
    </row>
    <row r="7" spans="1:2" x14ac:dyDescent="0.3">
      <c r="A7" s="7" t="s">
        <v>9</v>
      </c>
      <c r="B7" s="8">
        <v>6100</v>
      </c>
    </row>
    <row r="8" spans="1:2" x14ac:dyDescent="0.3">
      <c r="A8" s="7" t="s">
        <v>21</v>
      </c>
      <c r="B8" s="8">
        <v>24750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A3" sqref="A3:B8"/>
    </sheetView>
  </sheetViews>
  <sheetFormatPr defaultRowHeight="14.4" x14ac:dyDescent="0.3"/>
  <cols>
    <col min="1" max="1" width="12.5546875" bestFit="1" customWidth="1"/>
    <col min="2" max="2" width="18.109375" bestFit="1" customWidth="1"/>
  </cols>
  <sheetData>
    <row r="3" spans="1:2" x14ac:dyDescent="0.3">
      <c r="A3" s="6" t="s">
        <v>20</v>
      </c>
      <c r="B3" t="s">
        <v>30</v>
      </c>
    </row>
    <row r="4" spans="1:2" x14ac:dyDescent="0.3">
      <c r="A4" s="7" t="s">
        <v>8</v>
      </c>
      <c r="B4" s="21">
        <v>1.1830985915492953</v>
      </c>
    </row>
    <row r="5" spans="1:2" x14ac:dyDescent="0.3">
      <c r="A5" s="7" t="s">
        <v>14</v>
      </c>
      <c r="B5" s="21">
        <v>0.73239436619718279</v>
      </c>
    </row>
    <row r="6" spans="1:2" x14ac:dyDescent="0.3">
      <c r="A6" s="7" t="s">
        <v>17</v>
      </c>
      <c r="B6" s="21">
        <v>1.2957746478873233</v>
      </c>
    </row>
    <row r="7" spans="1:2" x14ac:dyDescent="0.3">
      <c r="A7" s="7" t="s">
        <v>11</v>
      </c>
      <c r="B7" s="21">
        <v>0.78873239436619691</v>
      </c>
    </row>
    <row r="8" spans="1:2" x14ac:dyDescent="0.3">
      <c r="A8" s="7" t="s">
        <v>21</v>
      </c>
      <c r="B8" s="21">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5"/>
  <sheetViews>
    <sheetView workbookViewId="0">
      <selection activeCell="A3" sqref="A3:B5"/>
    </sheetView>
  </sheetViews>
  <sheetFormatPr defaultRowHeight="14.4" x14ac:dyDescent="0.3"/>
  <cols>
    <col min="1" max="1" width="12.5546875" bestFit="1" customWidth="1"/>
    <col min="2" max="2" width="14.88671875" bestFit="1" customWidth="1"/>
  </cols>
  <sheetData>
    <row r="3" spans="1:2" x14ac:dyDescent="0.3">
      <c r="A3" s="6" t="s">
        <v>20</v>
      </c>
      <c r="B3" t="s">
        <v>22</v>
      </c>
    </row>
    <row r="4" spans="1:2" x14ac:dyDescent="0.3">
      <c r="A4" s="7" t="s">
        <v>10</v>
      </c>
      <c r="B4" s="8">
        <v>25000</v>
      </c>
    </row>
    <row r="5" spans="1:2" x14ac:dyDescent="0.3">
      <c r="A5" s="7" t="s">
        <v>21</v>
      </c>
      <c r="B5" s="8">
        <v>25000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Normal="100" workbookViewId="0">
      <selection activeCell="Q23" sqref="Q23"/>
    </sheetView>
  </sheetViews>
  <sheetFormatPr defaultRowHeight="14.4" x14ac:dyDescent="0.3"/>
  <cols>
    <col min="1" max="16384" width="8.88671875" style="36"/>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9"/>
  <sheetViews>
    <sheetView workbookViewId="0">
      <selection activeCell="A3" sqref="A3:D10"/>
    </sheetView>
  </sheetViews>
  <sheetFormatPr defaultRowHeight="14.4" x14ac:dyDescent="0.3"/>
  <cols>
    <col min="1" max="1" width="12.5546875" customWidth="1"/>
    <col min="2" max="2" width="14.88671875" bestFit="1" customWidth="1"/>
    <col min="3" max="3" width="12.109375" bestFit="1" customWidth="1"/>
    <col min="4" max="4" width="20.21875" bestFit="1" customWidth="1"/>
  </cols>
  <sheetData>
    <row r="3" spans="1:4" x14ac:dyDescent="0.3">
      <c r="A3" s="6" t="s">
        <v>20</v>
      </c>
      <c r="B3" t="s">
        <v>22</v>
      </c>
      <c r="C3" t="s">
        <v>28</v>
      </c>
      <c r="D3" t="s">
        <v>35</v>
      </c>
    </row>
    <row r="4" spans="1:4" x14ac:dyDescent="0.3">
      <c r="A4" s="7" t="s">
        <v>15</v>
      </c>
      <c r="B4" s="8">
        <v>34800</v>
      </c>
      <c r="C4" s="8">
        <v>7100</v>
      </c>
      <c r="D4" s="8">
        <v>20.402298850574713</v>
      </c>
    </row>
    <row r="5" spans="1:4" x14ac:dyDescent="0.3">
      <c r="A5" s="7" t="s">
        <v>18</v>
      </c>
      <c r="B5" s="8">
        <v>24000</v>
      </c>
      <c r="C5" s="8">
        <v>4800</v>
      </c>
      <c r="D5" s="8">
        <v>20</v>
      </c>
    </row>
    <row r="6" spans="1:4" x14ac:dyDescent="0.3">
      <c r="A6" s="7" t="s">
        <v>12</v>
      </c>
      <c r="B6" s="8">
        <v>29600</v>
      </c>
      <c r="C6" s="8">
        <v>5900</v>
      </c>
      <c r="D6" s="8">
        <v>19.932432432432432</v>
      </c>
    </row>
    <row r="7" spans="1:4" x14ac:dyDescent="0.3">
      <c r="A7" s="7" t="s">
        <v>34</v>
      </c>
      <c r="B7" s="8">
        <v>4300</v>
      </c>
      <c r="C7" s="8">
        <v>850</v>
      </c>
      <c r="D7" s="8">
        <v>19.767441860465116</v>
      </c>
    </row>
    <row r="8" spans="1:4" x14ac:dyDescent="0.3">
      <c r="A8" s="7" t="s">
        <v>9</v>
      </c>
      <c r="B8" s="8">
        <v>31700</v>
      </c>
      <c r="C8" s="8">
        <v>6100</v>
      </c>
      <c r="D8" s="8">
        <v>19.242902208201894</v>
      </c>
    </row>
    <row r="9" spans="1:4" x14ac:dyDescent="0.3">
      <c r="A9" s="7" t="s">
        <v>21</v>
      </c>
      <c r="B9" s="8">
        <v>124400</v>
      </c>
      <c r="C9" s="8">
        <v>24750</v>
      </c>
      <c r="D9" s="8">
        <v>19.89549839228296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
  <sheetViews>
    <sheetView workbookViewId="0">
      <selection activeCell="K19" sqref="K19"/>
    </sheetView>
  </sheetViews>
  <sheetFormatPr defaultRowHeight="14.4" x14ac:dyDescent="0.3"/>
  <cols>
    <col min="3" max="3" width="12.88671875" customWidth="1"/>
    <col min="4" max="4" width="9.5546875" customWidth="1"/>
    <col min="5" max="5" width="11.33203125" customWidth="1"/>
    <col min="6" max="7" width="10.21875" customWidth="1"/>
  </cols>
  <sheetData>
    <row r="1" spans="1:8" x14ac:dyDescent="0.3">
      <c r="A1" t="s">
        <v>0</v>
      </c>
      <c r="B1" t="s">
        <v>1</v>
      </c>
      <c r="C1" t="s">
        <v>2</v>
      </c>
      <c r="D1" t="s">
        <v>3</v>
      </c>
      <c r="E1" t="s">
        <v>4</v>
      </c>
      <c r="F1" t="s">
        <v>5</v>
      </c>
      <c r="G1" t="s">
        <v>6</v>
      </c>
      <c r="H1" t="s">
        <v>7</v>
      </c>
    </row>
    <row r="2" spans="1:8" x14ac:dyDescent="0.3">
      <c r="A2" s="35">
        <v>45310</v>
      </c>
      <c r="B2" t="s">
        <v>14</v>
      </c>
      <c r="C2" t="s">
        <v>15</v>
      </c>
      <c r="D2" t="s">
        <v>16</v>
      </c>
      <c r="E2">
        <v>11</v>
      </c>
      <c r="F2">
        <v>6800</v>
      </c>
      <c r="G2">
        <v>0.05</v>
      </c>
      <c r="H2">
        <v>1300</v>
      </c>
    </row>
    <row r="3" spans="1:8" x14ac:dyDescent="0.3">
      <c r="A3" s="35">
        <v>45306</v>
      </c>
      <c r="B3" t="s">
        <v>14</v>
      </c>
      <c r="C3" t="s">
        <v>15</v>
      </c>
      <c r="D3" t="s">
        <v>19</v>
      </c>
      <c r="E3">
        <v>14</v>
      </c>
      <c r="F3">
        <v>9900</v>
      </c>
      <c r="G3">
        <v>0.04</v>
      </c>
      <c r="H3">
        <v>2200</v>
      </c>
    </row>
    <row r="4" spans="1:8" x14ac:dyDescent="0.3">
      <c r="A4" s="35">
        <v>45294</v>
      </c>
      <c r="B4" t="s">
        <v>14</v>
      </c>
      <c r="C4" t="s">
        <v>15</v>
      </c>
      <c r="D4" t="s">
        <v>16</v>
      </c>
      <c r="E4">
        <v>8</v>
      </c>
      <c r="F4">
        <v>4000</v>
      </c>
      <c r="G4">
        <v>0.08</v>
      </c>
      <c r="H4">
        <v>800</v>
      </c>
    </row>
    <row r="5" spans="1:8" x14ac:dyDescent="0.3">
      <c r="A5" s="35">
        <v>45302</v>
      </c>
      <c r="B5" t="s">
        <v>14</v>
      </c>
      <c r="C5" t="s">
        <v>15</v>
      </c>
      <c r="D5" t="s">
        <v>16</v>
      </c>
      <c r="E5">
        <v>6</v>
      </c>
      <c r="F5">
        <v>3600</v>
      </c>
      <c r="G5">
        <v>0.05</v>
      </c>
      <c r="H5">
        <v>700</v>
      </c>
    </row>
    <row r="6" spans="1:8" x14ac:dyDescent="0.3">
      <c r="A6" s="35">
        <v>45298</v>
      </c>
      <c r="B6" t="s">
        <v>14</v>
      </c>
      <c r="C6" t="s">
        <v>15</v>
      </c>
      <c r="D6" t="s">
        <v>19</v>
      </c>
      <c r="E6">
        <v>15</v>
      </c>
      <c r="F6">
        <v>10500</v>
      </c>
      <c r="G6">
        <v>0.04</v>
      </c>
      <c r="H6">
        <v>2100</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5"/>
  <sheetViews>
    <sheetView workbookViewId="0">
      <selection activeCell="F24" sqref="F24"/>
    </sheetView>
  </sheetViews>
  <sheetFormatPr defaultRowHeight="14.4" x14ac:dyDescent="0.3"/>
  <cols>
    <col min="1" max="1" width="12.5546875" bestFit="1" customWidth="1"/>
    <col min="2" max="2" width="12.109375" bestFit="1" customWidth="1"/>
  </cols>
  <sheetData>
    <row r="3" spans="1:2" x14ac:dyDescent="0.3">
      <c r="A3" s="6" t="s">
        <v>20</v>
      </c>
      <c r="B3" t="s">
        <v>28</v>
      </c>
    </row>
    <row r="4" spans="1:2" x14ac:dyDescent="0.3">
      <c r="A4" s="7" t="s">
        <v>10</v>
      </c>
      <c r="B4" s="8">
        <v>1800</v>
      </c>
    </row>
    <row r="5" spans="1:2" x14ac:dyDescent="0.3">
      <c r="A5" s="7" t="s">
        <v>13</v>
      </c>
      <c r="B5" s="8">
        <v>4100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20"/>
  <sheetViews>
    <sheetView workbookViewId="0">
      <selection activeCell="A3" sqref="A3"/>
    </sheetView>
  </sheetViews>
  <sheetFormatPr defaultRowHeight="14.4" x14ac:dyDescent="0.3"/>
  <sheetData>
    <row r="3" spans="1:3" x14ac:dyDescent="0.3">
      <c r="A3" s="25"/>
      <c r="B3" s="26"/>
      <c r="C3" s="27"/>
    </row>
    <row r="4" spans="1:3" x14ac:dyDescent="0.3">
      <c r="A4" s="28"/>
      <c r="B4" s="29"/>
      <c r="C4" s="30"/>
    </row>
    <row r="5" spans="1:3" x14ac:dyDescent="0.3">
      <c r="A5" s="28"/>
      <c r="B5" s="29"/>
      <c r="C5" s="30"/>
    </row>
    <row r="6" spans="1:3" x14ac:dyDescent="0.3">
      <c r="A6" s="28"/>
      <c r="B6" s="29"/>
      <c r="C6" s="30"/>
    </row>
    <row r="7" spans="1:3" x14ac:dyDescent="0.3">
      <c r="A7" s="28"/>
      <c r="B7" s="29"/>
      <c r="C7" s="30"/>
    </row>
    <row r="8" spans="1:3" x14ac:dyDescent="0.3">
      <c r="A8" s="28"/>
      <c r="B8" s="29"/>
      <c r="C8" s="30"/>
    </row>
    <row r="9" spans="1:3" x14ac:dyDescent="0.3">
      <c r="A9" s="28"/>
      <c r="B9" s="29"/>
      <c r="C9" s="30"/>
    </row>
    <row r="10" spans="1:3" x14ac:dyDescent="0.3">
      <c r="A10" s="28"/>
      <c r="B10" s="29"/>
      <c r="C10" s="30"/>
    </row>
    <row r="11" spans="1:3" x14ac:dyDescent="0.3">
      <c r="A11" s="28"/>
      <c r="B11" s="29"/>
      <c r="C11" s="30"/>
    </row>
    <row r="12" spans="1:3" x14ac:dyDescent="0.3">
      <c r="A12" s="28"/>
      <c r="B12" s="29"/>
      <c r="C12" s="30"/>
    </row>
    <row r="13" spans="1:3" x14ac:dyDescent="0.3">
      <c r="A13" s="28"/>
      <c r="B13" s="29"/>
      <c r="C13" s="30"/>
    </row>
    <row r="14" spans="1:3" x14ac:dyDescent="0.3">
      <c r="A14" s="28"/>
      <c r="B14" s="29"/>
      <c r="C14" s="30"/>
    </row>
    <row r="15" spans="1:3" x14ac:dyDescent="0.3">
      <c r="A15" s="28"/>
      <c r="B15" s="29"/>
      <c r="C15" s="30"/>
    </row>
    <row r="16" spans="1:3" x14ac:dyDescent="0.3">
      <c r="A16" s="28"/>
      <c r="B16" s="29"/>
      <c r="C16" s="30"/>
    </row>
    <row r="17" spans="1:3" x14ac:dyDescent="0.3">
      <c r="A17" s="28"/>
      <c r="B17" s="29"/>
      <c r="C17" s="30"/>
    </row>
    <row r="18" spans="1:3" x14ac:dyDescent="0.3">
      <c r="A18" s="28"/>
      <c r="B18" s="29"/>
      <c r="C18" s="30"/>
    </row>
    <row r="19" spans="1:3" x14ac:dyDescent="0.3">
      <c r="A19" s="28"/>
      <c r="B19" s="29"/>
      <c r="C19" s="30"/>
    </row>
    <row r="20" spans="1:3" x14ac:dyDescent="0.3">
      <c r="A20" s="31"/>
      <c r="B20" s="32"/>
      <c r="C20" s="33"/>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A3" sqref="A3:B8"/>
    </sheetView>
  </sheetViews>
  <sheetFormatPr defaultRowHeight="14.4" x14ac:dyDescent="0.3"/>
  <cols>
    <col min="1" max="1" width="12.5546875" customWidth="1"/>
    <col min="2" max="2" width="16" bestFit="1" customWidth="1"/>
  </cols>
  <sheetData>
    <row r="3" spans="1:2" x14ac:dyDescent="0.3">
      <c r="A3" s="6" t="s">
        <v>20</v>
      </c>
      <c r="B3" t="s">
        <v>39</v>
      </c>
    </row>
    <row r="4" spans="1:2" x14ac:dyDescent="0.3">
      <c r="A4" s="7" t="s">
        <v>15</v>
      </c>
      <c r="B4" s="8">
        <v>54</v>
      </c>
    </row>
    <row r="5" spans="1:2" x14ac:dyDescent="0.3">
      <c r="A5" s="7" t="s">
        <v>18</v>
      </c>
      <c r="B5" s="8">
        <v>42</v>
      </c>
    </row>
    <row r="6" spans="1:2" x14ac:dyDescent="0.3">
      <c r="A6" s="7" t="s">
        <v>12</v>
      </c>
      <c r="B6" s="8">
        <v>43</v>
      </c>
    </row>
    <row r="7" spans="1:2" x14ac:dyDescent="0.3">
      <c r="A7" s="7" t="s">
        <v>9</v>
      </c>
      <c r="B7" s="8">
        <v>43</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H15" sqref="H15"/>
    </sheetView>
  </sheetViews>
  <sheetFormatPr defaultRowHeight="14.4" x14ac:dyDescent="0.3"/>
  <cols>
    <col min="1" max="1" width="12.5546875" customWidth="1"/>
    <col min="2" max="2" width="14.88671875" customWidth="1"/>
    <col min="3" max="10" width="15.5546875" bestFit="1" customWidth="1"/>
    <col min="11" max="11" width="10.77734375" bestFit="1" customWidth="1"/>
  </cols>
  <sheetData>
    <row r="3" spans="1:2" x14ac:dyDescent="0.3">
      <c r="A3" s="6" t="s">
        <v>20</v>
      </c>
      <c r="B3" t="s">
        <v>40</v>
      </c>
    </row>
    <row r="4" spans="1:2" x14ac:dyDescent="0.3">
      <c r="A4" s="7" t="s">
        <v>10</v>
      </c>
      <c r="B4" s="34">
        <v>0.30281690140845074</v>
      </c>
    </row>
    <row r="5" spans="1:2" x14ac:dyDescent="0.3">
      <c r="A5" s="7" t="s">
        <v>19</v>
      </c>
      <c r="B5" s="34">
        <v>0.2394366197183099</v>
      </c>
    </row>
    <row r="6" spans="1:2" x14ac:dyDescent="0.3">
      <c r="A6" s="7" t="s">
        <v>13</v>
      </c>
      <c r="B6" s="34">
        <v>0.19014084507042256</v>
      </c>
    </row>
    <row r="7" spans="1:2" x14ac:dyDescent="0.3">
      <c r="A7" s="7" t="s">
        <v>16</v>
      </c>
      <c r="B7" s="34">
        <v>0.26760563380281688</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21"/>
  <sheetViews>
    <sheetView topLeftCell="A115" zoomScale="85" zoomScaleNormal="85" workbookViewId="0">
      <selection activeCell="E129" sqref="E129"/>
    </sheetView>
  </sheetViews>
  <sheetFormatPr defaultRowHeight="14.4" x14ac:dyDescent="0.3"/>
  <cols>
    <col min="1" max="1" width="11" customWidth="1"/>
    <col min="17" max="17" width="12.5546875" bestFit="1" customWidth="1"/>
    <col min="18" max="18" width="14.88671875" bestFit="1" customWidth="1"/>
    <col min="19" max="19" width="12.109375" bestFit="1" customWidth="1"/>
    <col min="20" max="20" width="21.109375" bestFit="1" customWidth="1"/>
  </cols>
  <sheetData>
    <row r="1" spans="1:23" ht="27.6" thickBot="1" x14ac:dyDescent="0.35">
      <c r="A1" s="1" t="s">
        <v>0</v>
      </c>
      <c r="B1" s="1" t="s">
        <v>1</v>
      </c>
      <c r="C1" s="1" t="s">
        <v>2</v>
      </c>
      <c r="D1" s="1" t="s">
        <v>3</v>
      </c>
      <c r="E1" s="1" t="s">
        <v>4</v>
      </c>
      <c r="F1" s="1" t="s">
        <v>5</v>
      </c>
      <c r="G1" s="1" t="s">
        <v>6</v>
      </c>
      <c r="H1" s="1" t="s">
        <v>7</v>
      </c>
    </row>
    <row r="2" spans="1:23" ht="15" thickBot="1" x14ac:dyDescent="0.35">
      <c r="A2" s="2">
        <v>45292</v>
      </c>
      <c r="B2" s="3" t="s">
        <v>8</v>
      </c>
      <c r="C2" s="3" t="s">
        <v>9</v>
      </c>
      <c r="D2" s="3" t="s">
        <v>10</v>
      </c>
      <c r="E2" s="4">
        <v>5</v>
      </c>
      <c r="F2" s="4">
        <v>5000</v>
      </c>
      <c r="G2" s="5">
        <v>0.1</v>
      </c>
      <c r="H2" s="4">
        <v>1000</v>
      </c>
      <c r="N2" s="14" t="s">
        <v>23</v>
      </c>
      <c r="O2" s="14"/>
      <c r="P2" s="14"/>
      <c r="Q2" s="14"/>
      <c r="R2" s="14"/>
      <c r="S2" s="14"/>
      <c r="T2" s="14"/>
      <c r="U2" s="14"/>
      <c r="V2" s="14"/>
      <c r="W2" s="15"/>
    </row>
    <row r="3" spans="1:23" ht="27.6" thickBot="1" x14ac:dyDescent="0.35">
      <c r="A3" s="2">
        <v>45293</v>
      </c>
      <c r="B3" s="3" t="s">
        <v>11</v>
      </c>
      <c r="C3" s="3" t="s">
        <v>12</v>
      </c>
      <c r="D3" s="3" t="s">
        <v>13</v>
      </c>
      <c r="E3" s="4">
        <v>10</v>
      </c>
      <c r="F3" s="4">
        <v>7000</v>
      </c>
      <c r="G3" s="5">
        <v>0.05</v>
      </c>
      <c r="H3" s="4">
        <v>1500</v>
      </c>
    </row>
    <row r="4" spans="1:23" ht="27.6" thickBot="1" x14ac:dyDescent="0.35">
      <c r="A4" s="2">
        <v>45294</v>
      </c>
      <c r="B4" s="3" t="s">
        <v>14</v>
      </c>
      <c r="C4" s="3" t="s">
        <v>15</v>
      </c>
      <c r="D4" s="3" t="s">
        <v>16</v>
      </c>
      <c r="E4" s="4">
        <v>8</v>
      </c>
      <c r="F4" s="4">
        <v>4000</v>
      </c>
      <c r="G4" s="5">
        <v>0.08</v>
      </c>
      <c r="H4" s="4">
        <v>800</v>
      </c>
    </row>
    <row r="5" spans="1:23" ht="27.6" thickBot="1" x14ac:dyDescent="0.35">
      <c r="A5" s="2">
        <v>45295</v>
      </c>
      <c r="B5" s="3" t="s">
        <v>17</v>
      </c>
      <c r="C5" s="3" t="s">
        <v>18</v>
      </c>
      <c r="D5" s="3" t="s">
        <v>19</v>
      </c>
      <c r="E5" s="4">
        <v>6</v>
      </c>
      <c r="F5" s="4">
        <v>3000</v>
      </c>
      <c r="G5" s="5">
        <v>0.12</v>
      </c>
      <c r="H5" s="4">
        <v>600</v>
      </c>
      <c r="P5" s="11" t="s">
        <v>20</v>
      </c>
      <c r="Q5" s="11" t="s">
        <v>22</v>
      </c>
      <c r="R5" s="11"/>
    </row>
    <row r="6" spans="1:23" ht="15" thickBot="1" x14ac:dyDescent="0.35">
      <c r="A6" s="2">
        <v>45296</v>
      </c>
      <c r="B6" s="3" t="s">
        <v>8</v>
      </c>
      <c r="C6" s="3" t="s">
        <v>9</v>
      </c>
      <c r="D6" s="3" t="s">
        <v>13</v>
      </c>
      <c r="E6" s="4">
        <v>12</v>
      </c>
      <c r="F6" s="4">
        <v>8400</v>
      </c>
      <c r="G6" s="5">
        <v>7.0000000000000007E-2</v>
      </c>
      <c r="H6" s="4">
        <v>1800</v>
      </c>
      <c r="P6" s="7" t="s">
        <v>14</v>
      </c>
      <c r="Q6" s="8">
        <v>34800</v>
      </c>
    </row>
    <row r="7" spans="1:23" ht="27.6" thickBot="1" x14ac:dyDescent="0.35">
      <c r="A7" s="2">
        <v>45297</v>
      </c>
      <c r="B7" s="3" t="s">
        <v>11</v>
      </c>
      <c r="C7" s="3" t="s">
        <v>12</v>
      </c>
      <c r="D7" s="3" t="s">
        <v>10</v>
      </c>
      <c r="E7" s="4">
        <v>7</v>
      </c>
      <c r="F7" s="4">
        <v>4900</v>
      </c>
      <c r="G7" s="5">
        <v>0.06</v>
      </c>
      <c r="H7" s="4">
        <v>900</v>
      </c>
      <c r="P7" s="7" t="s">
        <v>8</v>
      </c>
      <c r="Q7" s="8">
        <v>31700</v>
      </c>
    </row>
    <row r="8" spans="1:23" ht="27.6" thickBot="1" x14ac:dyDescent="0.35">
      <c r="A8" s="2">
        <v>45298</v>
      </c>
      <c r="B8" s="3" t="s">
        <v>14</v>
      </c>
      <c r="C8" s="3" t="s">
        <v>15</v>
      </c>
      <c r="D8" s="3" t="s">
        <v>19</v>
      </c>
      <c r="E8" s="4">
        <v>15</v>
      </c>
      <c r="F8" s="4">
        <v>10500</v>
      </c>
      <c r="G8" s="5">
        <v>0.04</v>
      </c>
      <c r="H8" s="4">
        <v>2100</v>
      </c>
      <c r="P8" s="7" t="s">
        <v>11</v>
      </c>
      <c r="Q8" s="8">
        <v>29600</v>
      </c>
    </row>
    <row r="9" spans="1:23" ht="27.6" thickBot="1" x14ac:dyDescent="0.35">
      <c r="A9" s="2">
        <v>45299</v>
      </c>
      <c r="B9" s="3" t="s">
        <v>17</v>
      </c>
      <c r="C9" s="3" t="s">
        <v>18</v>
      </c>
      <c r="D9" s="3" t="s">
        <v>16</v>
      </c>
      <c r="E9" s="4">
        <v>9</v>
      </c>
      <c r="F9" s="4">
        <v>6200</v>
      </c>
      <c r="G9" s="5">
        <v>0.09</v>
      </c>
      <c r="H9" s="4">
        <v>1200</v>
      </c>
      <c r="P9" s="7" t="s">
        <v>17</v>
      </c>
      <c r="Q9" s="8">
        <v>28300</v>
      </c>
    </row>
    <row r="10" spans="1:23" ht="15" thickBot="1" x14ac:dyDescent="0.35">
      <c r="A10" s="2">
        <v>45300</v>
      </c>
      <c r="B10" s="3" t="s">
        <v>8</v>
      </c>
      <c r="C10" s="3" t="s">
        <v>9</v>
      </c>
      <c r="D10" s="3" t="s">
        <v>10</v>
      </c>
      <c r="E10" s="4">
        <v>4</v>
      </c>
      <c r="F10" s="4">
        <v>2800</v>
      </c>
      <c r="G10" s="5">
        <v>0.1</v>
      </c>
      <c r="H10" s="4">
        <v>400</v>
      </c>
      <c r="P10" s="12" t="s">
        <v>21</v>
      </c>
      <c r="Q10" s="13">
        <v>124400</v>
      </c>
      <c r="R10" s="13"/>
    </row>
    <row r="11" spans="1:23" ht="27.6" thickBot="1" x14ac:dyDescent="0.35">
      <c r="A11" s="2">
        <v>45301</v>
      </c>
      <c r="B11" s="3" t="s">
        <v>11</v>
      </c>
      <c r="C11" s="3" t="s">
        <v>12</v>
      </c>
      <c r="D11" s="3" t="s">
        <v>13</v>
      </c>
      <c r="E11" s="4">
        <v>11</v>
      </c>
      <c r="F11" s="4">
        <v>7700</v>
      </c>
      <c r="G11" s="5">
        <v>0.03</v>
      </c>
      <c r="H11" s="4">
        <v>1600</v>
      </c>
    </row>
    <row r="12" spans="1:23" ht="27.6" thickBot="1" x14ac:dyDescent="0.35">
      <c r="A12" s="2">
        <v>45302</v>
      </c>
      <c r="B12" s="3" t="s">
        <v>14</v>
      </c>
      <c r="C12" s="3" t="s">
        <v>15</v>
      </c>
      <c r="D12" s="3" t="s">
        <v>16</v>
      </c>
      <c r="E12" s="4">
        <v>6</v>
      </c>
      <c r="F12" s="4">
        <v>3600</v>
      </c>
      <c r="G12" s="5">
        <v>0.05</v>
      </c>
      <c r="H12" s="4">
        <v>700</v>
      </c>
    </row>
    <row r="13" spans="1:23" ht="27.6" thickBot="1" x14ac:dyDescent="0.35">
      <c r="A13" s="2">
        <v>45303</v>
      </c>
      <c r="B13" s="3" t="s">
        <v>17</v>
      </c>
      <c r="C13" s="3" t="s">
        <v>18</v>
      </c>
      <c r="D13" s="3" t="s">
        <v>19</v>
      </c>
      <c r="E13" s="4">
        <v>13</v>
      </c>
      <c r="F13" s="4">
        <v>9100</v>
      </c>
      <c r="G13" s="5">
        <v>7.0000000000000007E-2</v>
      </c>
      <c r="H13" s="4">
        <v>1900</v>
      </c>
    </row>
    <row r="14" spans="1:23" ht="15" thickBot="1" x14ac:dyDescent="0.35">
      <c r="A14" s="2">
        <v>45304</v>
      </c>
      <c r="B14" s="3" t="s">
        <v>8</v>
      </c>
      <c r="C14" s="3" t="s">
        <v>9</v>
      </c>
      <c r="D14" s="3" t="s">
        <v>13</v>
      </c>
      <c r="E14" s="4">
        <v>10</v>
      </c>
      <c r="F14" s="4">
        <v>8000</v>
      </c>
      <c r="G14" s="5">
        <v>0.06</v>
      </c>
      <c r="H14" s="4">
        <v>1500</v>
      </c>
      <c r="N14" s="37" t="s">
        <v>24</v>
      </c>
      <c r="O14" s="38"/>
      <c r="P14" s="38"/>
      <c r="Q14" s="38"/>
      <c r="R14" s="38"/>
      <c r="S14" s="38"/>
      <c r="T14" s="38"/>
      <c r="U14" s="38"/>
      <c r="V14" s="38"/>
      <c r="W14" s="39"/>
    </row>
    <row r="15" spans="1:23" ht="27.6" thickBot="1" x14ac:dyDescent="0.35">
      <c r="A15" s="2">
        <v>45305</v>
      </c>
      <c r="B15" s="3" t="s">
        <v>11</v>
      </c>
      <c r="C15" s="3" t="s">
        <v>12</v>
      </c>
      <c r="D15" s="3" t="s">
        <v>10</v>
      </c>
      <c r="E15" s="4">
        <v>8</v>
      </c>
      <c r="F15" s="4">
        <v>4800</v>
      </c>
      <c r="G15" s="5">
        <v>0.08</v>
      </c>
      <c r="H15" s="4">
        <v>900</v>
      </c>
    </row>
    <row r="16" spans="1:23" ht="27.6" thickBot="1" x14ac:dyDescent="0.35">
      <c r="A16" s="2">
        <v>45306</v>
      </c>
      <c r="B16" s="3" t="s">
        <v>14</v>
      </c>
      <c r="C16" s="3" t="s">
        <v>15</v>
      </c>
      <c r="D16" s="3" t="s">
        <v>19</v>
      </c>
      <c r="E16" s="4">
        <v>14</v>
      </c>
      <c r="F16" s="4">
        <v>9900</v>
      </c>
      <c r="G16" s="5">
        <v>0.04</v>
      </c>
      <c r="H16" s="4">
        <v>2200</v>
      </c>
    </row>
    <row r="17" spans="1:23" ht="27.6" thickBot="1" x14ac:dyDescent="0.35">
      <c r="A17" s="2">
        <v>45307</v>
      </c>
      <c r="B17" s="3" t="s">
        <v>17</v>
      </c>
      <c r="C17" s="3" t="s">
        <v>18</v>
      </c>
      <c r="D17" s="3" t="s">
        <v>16</v>
      </c>
      <c r="E17" s="4">
        <v>9</v>
      </c>
      <c r="F17" s="4">
        <v>5700</v>
      </c>
      <c r="G17" s="5">
        <v>0.11</v>
      </c>
      <c r="H17" s="4">
        <v>1100</v>
      </c>
    </row>
    <row r="18" spans="1:23" ht="15" thickBot="1" x14ac:dyDescent="0.35">
      <c r="A18" s="2">
        <v>45308</v>
      </c>
      <c r="B18" s="3" t="s">
        <v>8</v>
      </c>
      <c r="C18" s="3" t="s">
        <v>9</v>
      </c>
      <c r="D18" s="3" t="s">
        <v>10</v>
      </c>
      <c r="E18" s="4">
        <v>12</v>
      </c>
      <c r="F18" s="4">
        <v>7500</v>
      </c>
      <c r="G18" s="5">
        <v>0.09</v>
      </c>
      <c r="H18" s="4">
        <v>1400</v>
      </c>
    </row>
    <row r="19" spans="1:23" ht="27.6" thickBot="1" x14ac:dyDescent="0.35">
      <c r="A19" s="2">
        <v>45309</v>
      </c>
      <c r="B19" s="3" t="s">
        <v>11</v>
      </c>
      <c r="C19" s="3" t="s">
        <v>12</v>
      </c>
      <c r="D19" s="3" t="s">
        <v>13</v>
      </c>
      <c r="E19" s="4">
        <v>7</v>
      </c>
      <c r="F19" s="4">
        <v>5200</v>
      </c>
      <c r="G19" s="5">
        <v>0.06</v>
      </c>
      <c r="H19" s="4">
        <v>1000</v>
      </c>
    </row>
    <row r="20" spans="1:23" ht="27.6" thickBot="1" x14ac:dyDescent="0.35">
      <c r="A20" s="2">
        <v>45310</v>
      </c>
      <c r="B20" s="3" t="s">
        <v>14</v>
      </c>
      <c r="C20" s="3" t="s">
        <v>15</v>
      </c>
      <c r="D20" s="3" t="s">
        <v>16</v>
      </c>
      <c r="E20" s="4">
        <v>11</v>
      </c>
      <c r="F20" s="4">
        <v>6800</v>
      </c>
      <c r="G20" s="5">
        <v>0.05</v>
      </c>
      <c r="H20" s="4">
        <v>1300</v>
      </c>
    </row>
    <row r="21" spans="1:23" ht="15" thickBot="1" x14ac:dyDescent="0.35">
      <c r="A21" s="2">
        <v>45311</v>
      </c>
      <c r="B21" s="3" t="s">
        <v>17</v>
      </c>
      <c r="C21" s="1"/>
      <c r="D21" s="3" t="s">
        <v>19</v>
      </c>
      <c r="E21" s="4">
        <v>5</v>
      </c>
      <c r="F21" s="4">
        <v>4300</v>
      </c>
      <c r="G21" s="5">
        <v>7.0000000000000007E-2</v>
      </c>
      <c r="H21" s="4">
        <v>850</v>
      </c>
    </row>
    <row r="24" spans="1:23" x14ac:dyDescent="0.3">
      <c r="N24" s="37" t="s">
        <v>25</v>
      </c>
      <c r="O24" s="38"/>
      <c r="P24" s="38"/>
      <c r="Q24" s="38"/>
      <c r="R24" s="38"/>
      <c r="S24" s="38"/>
      <c r="T24" s="38"/>
      <c r="U24" s="38"/>
      <c r="V24" s="38"/>
      <c r="W24" s="39"/>
    </row>
    <row r="27" spans="1:23" x14ac:dyDescent="0.3">
      <c r="O27" s="9" t="s">
        <v>22</v>
      </c>
      <c r="P27" s="11"/>
    </row>
    <row r="28" spans="1:23" x14ac:dyDescent="0.3">
      <c r="O28" s="8">
        <v>5000</v>
      </c>
    </row>
    <row r="29" spans="1:23" x14ac:dyDescent="0.3">
      <c r="O29" s="8">
        <v>7000</v>
      </c>
    </row>
    <row r="30" spans="1:23" x14ac:dyDescent="0.3">
      <c r="O30" s="8">
        <v>4000</v>
      </c>
    </row>
    <row r="31" spans="1:23" x14ac:dyDescent="0.3">
      <c r="O31" s="8">
        <v>3000</v>
      </c>
    </row>
    <row r="32" spans="1:23" x14ac:dyDescent="0.3">
      <c r="O32" s="8">
        <v>8400</v>
      </c>
    </row>
    <row r="33" spans="15:15" x14ac:dyDescent="0.3">
      <c r="O33" s="8">
        <v>4900</v>
      </c>
    </row>
    <row r="34" spans="15:15" x14ac:dyDescent="0.3">
      <c r="O34" s="8">
        <v>10500</v>
      </c>
    </row>
    <row r="35" spans="15:15" x14ac:dyDescent="0.3">
      <c r="O35" s="8">
        <v>6200</v>
      </c>
    </row>
    <row r="36" spans="15:15" x14ac:dyDescent="0.3">
      <c r="O36" s="8">
        <v>2800</v>
      </c>
    </row>
    <row r="37" spans="15:15" x14ac:dyDescent="0.3">
      <c r="O37" s="8">
        <v>7700</v>
      </c>
    </row>
    <row r="38" spans="15:15" x14ac:dyDescent="0.3">
      <c r="O38" s="8">
        <v>3600</v>
      </c>
    </row>
    <row r="39" spans="15:15" x14ac:dyDescent="0.3">
      <c r="O39" s="8">
        <v>9100</v>
      </c>
    </row>
    <row r="40" spans="15:15" x14ac:dyDescent="0.3">
      <c r="O40" s="8">
        <v>8000</v>
      </c>
    </row>
    <row r="41" spans="15:15" x14ac:dyDescent="0.3">
      <c r="O41" s="8">
        <v>4800</v>
      </c>
    </row>
    <row r="42" spans="15:15" x14ac:dyDescent="0.3">
      <c r="O42" s="8">
        <v>9900</v>
      </c>
    </row>
    <row r="43" spans="15:15" x14ac:dyDescent="0.3">
      <c r="O43" s="8">
        <v>5700</v>
      </c>
    </row>
    <row r="44" spans="15:15" x14ac:dyDescent="0.3">
      <c r="O44" s="8">
        <v>7500</v>
      </c>
    </row>
    <row r="45" spans="15:15" x14ac:dyDescent="0.3">
      <c r="O45" s="8">
        <v>5200</v>
      </c>
    </row>
    <row r="46" spans="15:15" x14ac:dyDescent="0.3">
      <c r="O46" s="8">
        <v>6800</v>
      </c>
    </row>
    <row r="47" spans="15:15" x14ac:dyDescent="0.3">
      <c r="O47" s="8">
        <v>4300</v>
      </c>
    </row>
    <row r="48" spans="15:15" x14ac:dyDescent="0.3">
      <c r="O48" s="10">
        <v>124400</v>
      </c>
    </row>
    <row r="50" spans="14:22" x14ac:dyDescent="0.3">
      <c r="N50" s="37" t="s">
        <v>26</v>
      </c>
      <c r="O50" s="38"/>
      <c r="P50" s="38"/>
      <c r="Q50" s="38"/>
      <c r="R50" s="38"/>
      <c r="S50" s="38"/>
      <c r="T50" s="38"/>
      <c r="U50" s="38"/>
      <c r="V50" s="39"/>
    </row>
    <row r="53" spans="14:22" x14ac:dyDescent="0.3">
      <c r="P53" s="6" t="s">
        <v>20</v>
      </c>
      <c r="Q53" t="s">
        <v>22</v>
      </c>
      <c r="R53" s="11"/>
    </row>
    <row r="54" spans="14:22" x14ac:dyDescent="0.3">
      <c r="P54" s="7" t="s">
        <v>10</v>
      </c>
      <c r="Q54" s="8">
        <v>25000</v>
      </c>
    </row>
    <row r="55" spans="14:22" x14ac:dyDescent="0.3">
      <c r="P55" s="17" t="s">
        <v>19</v>
      </c>
      <c r="Q55" s="18">
        <v>36800</v>
      </c>
    </row>
    <row r="56" spans="14:22" x14ac:dyDescent="0.3">
      <c r="P56" s="7" t="s">
        <v>13</v>
      </c>
      <c r="Q56" s="8">
        <v>36300</v>
      </c>
    </row>
    <row r="57" spans="14:22" x14ac:dyDescent="0.3">
      <c r="P57" s="7" t="s">
        <v>16</v>
      </c>
      <c r="Q57" s="8">
        <v>26300</v>
      </c>
    </row>
    <row r="58" spans="14:22" x14ac:dyDescent="0.3">
      <c r="P58" s="7" t="s">
        <v>21</v>
      </c>
      <c r="Q58" s="8">
        <v>124400</v>
      </c>
    </row>
    <row r="61" spans="14:22" x14ac:dyDescent="0.3">
      <c r="N61" s="37" t="s">
        <v>27</v>
      </c>
      <c r="O61" s="38"/>
      <c r="P61" s="38"/>
      <c r="Q61" s="38"/>
      <c r="R61" s="38"/>
      <c r="S61" s="38"/>
      <c r="T61" s="38"/>
      <c r="U61" s="38"/>
      <c r="V61" s="39"/>
    </row>
    <row r="64" spans="14:22" x14ac:dyDescent="0.3">
      <c r="Q64" s="6" t="s">
        <v>20</v>
      </c>
      <c r="R64" t="s">
        <v>28</v>
      </c>
      <c r="S64" s="11"/>
    </row>
    <row r="65" spans="14:22" x14ac:dyDescent="0.3">
      <c r="Q65" s="19" t="s">
        <v>15</v>
      </c>
      <c r="R65" s="20">
        <v>7100</v>
      </c>
    </row>
    <row r="66" spans="14:22" x14ac:dyDescent="0.3">
      <c r="Q66" s="7" t="s">
        <v>18</v>
      </c>
      <c r="R66" s="8">
        <v>5650</v>
      </c>
    </row>
    <row r="67" spans="14:22" x14ac:dyDescent="0.3">
      <c r="Q67" s="7" t="s">
        <v>12</v>
      </c>
      <c r="R67" s="8">
        <v>5900</v>
      </c>
    </row>
    <row r="68" spans="14:22" x14ac:dyDescent="0.3">
      <c r="Q68" s="7" t="s">
        <v>9</v>
      </c>
      <c r="R68" s="8">
        <v>6100</v>
      </c>
    </row>
    <row r="69" spans="14:22" x14ac:dyDescent="0.3">
      <c r="Q69" s="7" t="s">
        <v>21</v>
      </c>
      <c r="R69" s="8">
        <v>24750</v>
      </c>
    </row>
    <row r="73" spans="14:22" x14ac:dyDescent="0.3">
      <c r="N73" s="37" t="s">
        <v>29</v>
      </c>
      <c r="O73" s="38"/>
      <c r="P73" s="38"/>
      <c r="Q73" s="38"/>
      <c r="R73" s="38"/>
      <c r="S73" s="38"/>
      <c r="T73" s="38"/>
      <c r="U73" s="38"/>
      <c r="V73" s="39"/>
    </row>
    <row r="76" spans="14:22" x14ac:dyDescent="0.3">
      <c r="Q76" s="6" t="s">
        <v>20</v>
      </c>
      <c r="R76" t="s">
        <v>30</v>
      </c>
      <c r="S76" s="11"/>
    </row>
    <row r="77" spans="14:22" x14ac:dyDescent="0.3">
      <c r="Q77" s="7" t="s">
        <v>8</v>
      </c>
      <c r="R77" s="21">
        <v>1.1830985915492953</v>
      </c>
    </row>
    <row r="78" spans="14:22" x14ac:dyDescent="0.3">
      <c r="Q78" s="7" t="s">
        <v>14</v>
      </c>
      <c r="R78" s="21">
        <v>0.73239436619718279</v>
      </c>
    </row>
    <row r="79" spans="14:22" x14ac:dyDescent="0.3">
      <c r="Q79" s="7" t="s">
        <v>17</v>
      </c>
      <c r="R79" s="21">
        <v>1.2957746478873233</v>
      </c>
    </row>
    <row r="80" spans="14:22" x14ac:dyDescent="0.3">
      <c r="Q80" s="7" t="s">
        <v>11</v>
      </c>
      <c r="R80" s="21">
        <v>0.78873239436619691</v>
      </c>
    </row>
    <row r="81" spans="14:22" x14ac:dyDescent="0.3">
      <c r="Q81" s="7" t="s">
        <v>21</v>
      </c>
      <c r="R81" s="21">
        <v>1</v>
      </c>
    </row>
    <row r="85" spans="14:22" x14ac:dyDescent="0.3">
      <c r="N85" s="37" t="s">
        <v>31</v>
      </c>
      <c r="O85" s="38"/>
      <c r="P85" s="38"/>
      <c r="Q85" s="38"/>
      <c r="R85" s="38"/>
      <c r="S85" s="38"/>
      <c r="T85" s="38"/>
      <c r="U85" s="38"/>
      <c r="V85" s="39"/>
    </row>
    <row r="88" spans="14:22" x14ac:dyDescent="0.3">
      <c r="Q88" s="6" t="s">
        <v>20</v>
      </c>
      <c r="R88" t="s">
        <v>22</v>
      </c>
      <c r="S88" s="11"/>
    </row>
    <row r="89" spans="14:22" x14ac:dyDescent="0.3">
      <c r="Q89" s="7" t="s">
        <v>10</v>
      </c>
      <c r="R89" s="8">
        <v>25000</v>
      </c>
    </row>
    <row r="90" spans="14:22" x14ac:dyDescent="0.3">
      <c r="Q90" s="7" t="s">
        <v>21</v>
      </c>
      <c r="R90" s="8">
        <v>25000</v>
      </c>
    </row>
    <row r="98" spans="2:28" x14ac:dyDescent="0.3">
      <c r="N98" s="37" t="s">
        <v>32</v>
      </c>
      <c r="O98" s="38"/>
      <c r="P98" s="38"/>
      <c r="Q98" s="38"/>
      <c r="R98" s="38"/>
      <c r="S98" s="38"/>
      <c r="T98" s="38"/>
      <c r="U98" s="38"/>
      <c r="V98" s="38"/>
      <c r="W98" s="38"/>
      <c r="X98" s="39"/>
    </row>
    <row r="99" spans="2:28" x14ac:dyDescent="0.3">
      <c r="N99" s="22"/>
      <c r="O99" s="22"/>
      <c r="P99" s="22"/>
      <c r="Q99" s="22"/>
      <c r="R99" s="22"/>
      <c r="S99" s="22"/>
      <c r="T99" s="22"/>
      <c r="U99" s="22"/>
      <c r="V99" s="22"/>
    </row>
    <row r="101" spans="2:28" x14ac:dyDescent="0.3">
      <c r="P101" s="40" t="s">
        <v>33</v>
      </c>
      <c r="Q101" s="41"/>
      <c r="R101" s="41"/>
      <c r="S101" s="41"/>
      <c r="T101" s="41"/>
      <c r="U101" s="41"/>
      <c r="V101" s="42"/>
    </row>
    <row r="102" spans="2:28" x14ac:dyDescent="0.3">
      <c r="P102" s="43"/>
      <c r="Q102" s="44"/>
      <c r="R102" s="44"/>
      <c r="S102" s="44"/>
      <c r="T102" s="44"/>
      <c r="U102" s="44"/>
      <c r="V102" s="45"/>
    </row>
    <row r="106" spans="2:28" x14ac:dyDescent="0.3">
      <c r="N106" s="37" t="s">
        <v>37</v>
      </c>
      <c r="O106" s="38"/>
      <c r="P106" s="38"/>
      <c r="Q106" s="38"/>
      <c r="R106" s="38"/>
      <c r="S106" s="38"/>
      <c r="T106" s="38"/>
      <c r="U106" s="38"/>
      <c r="V106" s="38"/>
      <c r="W106" s="38"/>
      <c r="X106" s="39"/>
      <c r="Y106" s="24"/>
      <c r="Z106" s="24"/>
      <c r="AA106" s="24"/>
      <c r="AB106" s="24"/>
    </row>
    <row r="111" spans="2:28" x14ac:dyDescent="0.3">
      <c r="B111" s="24"/>
      <c r="C111" s="24"/>
      <c r="D111" s="24"/>
      <c r="E111" s="24"/>
      <c r="F111" s="24"/>
      <c r="G111" s="24"/>
      <c r="H111" s="24"/>
      <c r="I111" s="24"/>
      <c r="J111" s="24"/>
      <c r="K111" s="24"/>
      <c r="L111" s="24"/>
      <c r="Q111" s="6" t="s">
        <v>20</v>
      </c>
      <c r="R111" t="s">
        <v>22</v>
      </c>
      <c r="S111" t="s">
        <v>28</v>
      </c>
      <c r="T111" t="s">
        <v>36</v>
      </c>
      <c r="U111" s="23"/>
    </row>
    <row r="112" spans="2:28" x14ac:dyDescent="0.3">
      <c r="Q112" s="7" t="s">
        <v>15</v>
      </c>
      <c r="R112" s="8">
        <v>34800</v>
      </c>
      <c r="S112" s="8">
        <v>7100</v>
      </c>
      <c r="T112" s="8">
        <v>20.402298850574713</v>
      </c>
    </row>
    <row r="113" spans="14:24" x14ac:dyDescent="0.3">
      <c r="Q113" s="7" t="s">
        <v>18</v>
      </c>
      <c r="R113" s="8">
        <v>24000</v>
      </c>
      <c r="S113" s="8">
        <v>4800</v>
      </c>
      <c r="T113" s="8">
        <v>20</v>
      </c>
    </row>
    <row r="114" spans="14:24" x14ac:dyDescent="0.3">
      <c r="Q114" s="7" t="s">
        <v>12</v>
      </c>
      <c r="R114" s="8">
        <v>29600</v>
      </c>
      <c r="S114" s="8">
        <v>5900</v>
      </c>
      <c r="T114" s="8">
        <v>19.932432432432432</v>
      </c>
    </row>
    <row r="115" spans="14:24" x14ac:dyDescent="0.3">
      <c r="Q115" s="7" t="s">
        <v>34</v>
      </c>
      <c r="R115" s="8">
        <v>4300</v>
      </c>
      <c r="S115" s="8">
        <v>850</v>
      </c>
      <c r="T115" s="8">
        <v>19.767441860465116</v>
      </c>
    </row>
    <row r="116" spans="14:24" x14ac:dyDescent="0.3">
      <c r="Q116" s="7" t="s">
        <v>9</v>
      </c>
      <c r="R116" s="8">
        <v>31700</v>
      </c>
      <c r="S116" s="8">
        <v>6100</v>
      </c>
      <c r="T116" s="8">
        <v>19.242902208201894</v>
      </c>
    </row>
    <row r="117" spans="14:24" x14ac:dyDescent="0.3">
      <c r="Q117" s="7" t="s">
        <v>21</v>
      </c>
      <c r="R117" s="8">
        <v>124400</v>
      </c>
      <c r="S117" s="8">
        <v>24750</v>
      </c>
      <c r="T117" s="8">
        <v>19.89549839228296</v>
      </c>
    </row>
    <row r="121" spans="14:24" x14ac:dyDescent="0.3">
      <c r="N121" s="37" t="s">
        <v>38</v>
      </c>
      <c r="O121" s="38"/>
      <c r="P121" s="38"/>
      <c r="Q121" s="38"/>
      <c r="R121" s="38"/>
      <c r="S121" s="38"/>
      <c r="T121" s="38"/>
      <c r="U121" s="38"/>
      <c r="V121" s="38"/>
      <c r="W121" s="38"/>
      <c r="X121" s="39"/>
    </row>
  </sheetData>
  <mergeCells count="10">
    <mergeCell ref="N121:X121"/>
    <mergeCell ref="N106:X106"/>
    <mergeCell ref="N98:X98"/>
    <mergeCell ref="P101:V102"/>
    <mergeCell ref="N85:V85"/>
    <mergeCell ref="N14:W14"/>
    <mergeCell ref="N24:W24"/>
    <mergeCell ref="N50:V50"/>
    <mergeCell ref="N61:V61"/>
    <mergeCell ref="N73:V73"/>
  </mergeCells>
  <conditionalFormatting sqref="H2:H21">
    <cfRule type="cellIs" dxfId="6" priority="1" operator="lessThan">
      <formula>1000</formula>
    </cfRule>
  </conditionalFormatting>
  <pageMargins left="0.7" right="0.7" top="0.75" bottom="0.75" header="0.3" footer="0.3"/>
  <pageSetup orientation="portrait" r:id="rId7"/>
  <drawing r:id="rId8"/>
  <extLst>
    <ext xmlns:x14="http://schemas.microsoft.com/office/spreadsheetml/2009/9/main" uri="{A8765BA9-456A-4dab-B4F3-ACF838C121DE}">
      <x14:slicerList>
        <x14:slicer r:id="rId9"/>
      </x14:slicerList>
    </ext>
    <ext xmlns:x15="http://schemas.microsoft.com/office/spreadsheetml/2010/11/main" uri="{7E03D99C-DC04-49d9-9315-930204A7B6E9}">
      <x15:timelineRefs>
        <x15:timelineRef r:id="rId10"/>
      </x15:timelineRef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workbookViewId="0">
      <selection activeCell="I31" sqref="I31"/>
    </sheetView>
  </sheetViews>
  <sheetFormatPr defaultRowHeight="14.4" x14ac:dyDescent="0.3"/>
  <cols>
    <col min="1" max="16384" width="8.88671875" style="36"/>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Sheet3</vt:lpstr>
      <vt:lpstr>Sheet6</vt:lpstr>
      <vt:lpstr>Sheet7</vt:lpstr>
      <vt:lpstr>Sheet8</vt:lpstr>
      <vt:lpstr>Sheet9</vt:lpstr>
      <vt:lpstr>Sheet10</vt:lpstr>
      <vt:lpstr>Sheet11</vt:lpstr>
      <vt:lpstr>Sheet5</vt:lpstr>
      <vt:lpstr>Sheet2</vt:lpstr>
      <vt:lpstr>Sheet16</vt:lpstr>
      <vt:lpstr>Sheet4</vt:lpstr>
      <vt:lpstr>Sheet12</vt:lpstr>
      <vt:lpstr>Sheet13</vt:lpstr>
      <vt:lpstr>Sheet14</vt:lpstr>
      <vt:lpstr>sheet1</vt:lpstr>
      <vt:lpstr>Sheet15</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Tabbu</dc:creator>
  <cp:lastModifiedBy>Tabbu</cp:lastModifiedBy>
  <dcterms:created xsi:type="dcterms:W3CDTF">2025-12-17T10:13:54Z</dcterms:created>
  <dcterms:modified xsi:type="dcterms:W3CDTF">2026-02-07T12:53:47Z</dcterms:modified>
</cp:coreProperties>
</file>